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franl\Desktop\auditoria\proyecto\outputs\"/>
    </mc:Choice>
  </mc:AlternateContent>
  <xr:revisionPtr revIDLastSave="0" documentId="13_ncr:1_{D9012A50-140C-4A8A-9EA0-D4F5F3CB7691}" xr6:coauthVersionLast="47" xr6:coauthVersionMax="47" xr10:uidLastSave="{00000000-0000-0000-0000-000000000000}"/>
  <bookViews>
    <workbookView xWindow="-108" yWindow="-108" windowWidth="23256" windowHeight="13176" tabRatio="809" xr2:uid="{00000000-000D-0000-FFFF-FFFF00000000}"/>
  </bookViews>
  <sheets>
    <sheet name="Títulos" sheetId="25" r:id="rId1"/>
    <sheet name="PROCEDIMIENTO" sheetId="23" r:id="rId2"/>
    <sheet name="Cuentas Auditadas" sheetId="24" r:id="rId3"/>
    <sheet name="Sys" sheetId="21" r:id="rId4"/>
    <sheet name="Analisis General" sheetId="17" r:id="rId5"/>
    <sheet name="931" sheetId="27" r:id="rId6"/>
    <sheet name="Saldo Inicio y cierre" sheetId="15" r:id="rId7"/>
    <sheet name="Ret. SUSS" sheetId="14" r:id="rId8"/>
    <sheet name="PAGOS" sheetId="19" r:id="rId9"/>
    <sheet name="TABLA PAGOS" sheetId="20" r:id="rId10"/>
    <sheet name="COMPENSACIONES" sheetId="22" r:id="rId11"/>
    <sheet name="D.814" sheetId="11" r:id="rId12"/>
    <sheet name="Cuestionario" sheetId="9" r:id="rId13"/>
    <sheet name="Mayores" sheetId="18" r:id="rId14"/>
    <sheet name="Resumen" sheetId="5" r:id="rId15"/>
  </sheets>
  <externalReferences>
    <externalReference r:id="rId16"/>
    <externalReference r:id="rId17"/>
  </externalReferences>
  <definedNames>
    <definedName name="_xlnm._FilterDatabase" localSheetId="8" hidden="1">PAGOS!$A$4:$G$65</definedName>
    <definedName name="_xlnm._FilterDatabase" localSheetId="7" hidden="1">'Ret. SUSS'!$A$24:$IS$3680</definedName>
    <definedName name="_xlnm._FilterDatabase" localSheetId="3" hidden="1">Sys!$B$2:$D$688</definedName>
    <definedName name="AddInfoCommentBox1">'[1]Library procedures'!#REF!</definedName>
    <definedName name="AddInfoCommentBox10">'[1]Library procedures'!#REF!</definedName>
    <definedName name="AddInfoCommentBox11">'[1]Library procedures'!#REF!</definedName>
    <definedName name="AddInfoCommentBox12">'[1]Library procedures'!#REF!</definedName>
    <definedName name="AddInfoCommentBox2">'[1]Library procedures'!#REF!</definedName>
    <definedName name="AddInfoCommentBox3">'[1]Library procedures'!#REF!</definedName>
    <definedName name="AddInfoCommentBox4">'[1]Library procedures'!#REF!</definedName>
    <definedName name="AddInfoCommentBox5">'[1]Library procedures'!#REF!</definedName>
    <definedName name="AddInfoCommentBox6">'[1]Library procedures'!#REF!</definedName>
    <definedName name="AddInfoCommentBox7">'[1]Library procedures'!#REF!</definedName>
    <definedName name="AddInfoCommentBox8">'[1]Library procedures'!#REF!</definedName>
    <definedName name="AddInfoCommentBox9">'[1]Library procedures'!#REF!</definedName>
    <definedName name="AddInfoName1">'[1]Library procedures'!#REF!</definedName>
    <definedName name="AddInfoName10">'[1]Library procedures'!#REF!</definedName>
    <definedName name="AddInfoName11">'[1]Library procedures'!#REF!</definedName>
    <definedName name="AddInfoName12">'[1]Library procedures'!#REF!</definedName>
    <definedName name="AddInfoName2">'[1]Library procedures'!#REF!</definedName>
    <definedName name="AddInfoName3">'[1]Library procedures'!#REF!</definedName>
    <definedName name="AddInfoName4">'[1]Library procedures'!#REF!</definedName>
    <definedName name="AddInfoName5">'[1]Library procedures'!#REF!</definedName>
    <definedName name="AddInfoName9">'[1]Library procedures'!#REF!</definedName>
    <definedName name="AddInfoTextBox1">'[1]Library procedures'!#REF!</definedName>
    <definedName name="AddInfoTextBox10">'[1]Library procedures'!#REF!</definedName>
    <definedName name="AddInfoTextBox11">'[1]Library procedures'!#REF!</definedName>
    <definedName name="AddInfoTextBox12">'[1]Library procedures'!#REF!</definedName>
    <definedName name="AddInfoTextBox2">'[1]Library procedures'!#REF!</definedName>
    <definedName name="AddInfoTextBox3">'[1]Library procedures'!#REF!</definedName>
    <definedName name="AddInfoTextBox4">'[1]Library procedures'!#REF!</definedName>
    <definedName name="AddInfoTextBox5">'[1]Library procedures'!#REF!</definedName>
    <definedName name="AddInfoTextBox6">'[1]Library procedures'!#REF!</definedName>
    <definedName name="AddInfoTextBox7">'[1]Library procedures'!#REF!</definedName>
    <definedName name="AddInfoTextBox8">'[1]Library procedures'!#REF!</definedName>
    <definedName name="AddInfoTextBox9">'[1]Library procedures'!#REF!</definedName>
    <definedName name="_xlnm.Print_Area" localSheetId="4">'Analisis General'!$B$2:$R$55</definedName>
    <definedName name="_xlnm.Print_Area" localSheetId="12">Cuestionario!$B$17:$F$76</definedName>
    <definedName name="CommentBox1">#REF!</definedName>
    <definedName name="CommentBox12a">'[1]Library procedures'!#REF!</definedName>
    <definedName name="CommentBox12b">'[1]Library procedures'!#REF!</definedName>
    <definedName name="CommentBox12d">'[1]Library procedures'!#REF!</definedName>
    <definedName name="CommentBox13a">'[1]Library procedures'!#REF!</definedName>
    <definedName name="CommentBox13b">'[1]Library procedures'!#REF!</definedName>
    <definedName name="CommentBox13c">'[1]Library procedures'!#REF!</definedName>
    <definedName name="CommentBox3b">'[1]Library procedures'!#REF!</definedName>
    <definedName name="CommentBox3c">'[1]Library procedures'!#REF!</definedName>
    <definedName name="CommentBox4a">'[1]Library procedures'!#REF!</definedName>
    <definedName name="CommentBox4b">'[1]Library procedures'!#REF!</definedName>
    <definedName name="CommentBox4c">'[1]Library procedures'!#REF!</definedName>
    <definedName name="CommentBox4d">'[1]Library procedures'!#REF!</definedName>
    <definedName name="CommentBox4e">'[1]Library procedures'!#REF!</definedName>
    <definedName name="CommentBox4f">'[1]Library procedures'!#REF!</definedName>
    <definedName name="CommentBox7b">'[1]Library procedures'!#REF!</definedName>
    <definedName name="CommentBox9a">'[1]Library procedures'!#REF!</definedName>
    <definedName name="CommentBox9b">'[1]Library procedures'!#REF!</definedName>
    <definedName name="CommentBox9c">'[1]Library procedures'!#REF!</definedName>
    <definedName name="Link10d">'[1]Library procedures'!#REF!</definedName>
    <definedName name="Link11b">'[1]Library procedures'!#REF!</definedName>
    <definedName name="Link11c">'[1]Library procedures'!#REF!</definedName>
    <definedName name="Link5b">'[1]Library procedures'!#REF!</definedName>
    <definedName name="Link5c">'[1]Library procedures'!#REF!</definedName>
    <definedName name="Link8c">'[1]Library procedures'!#REF!</definedName>
    <definedName name="Name10a">'[1]Library procedures'!$K$41</definedName>
    <definedName name="Name10b">'[1]Library procedures'!$K$42</definedName>
    <definedName name="Name10c">'[1]Library procedures'!$K$46</definedName>
    <definedName name="Name10d">'[1]Library procedures'!#REF!</definedName>
    <definedName name="Name11a">'[1]Library procedures'!#REF!</definedName>
    <definedName name="Name11b">'[1]Library procedures'!#REF!</definedName>
    <definedName name="Name11c">'[1]Library procedures'!#REF!</definedName>
    <definedName name="Name12a">'[1]Library procedures'!#REF!</definedName>
    <definedName name="Name12b">'[1]Library procedures'!#REF!</definedName>
    <definedName name="Name12c">'[1]Library procedures'!#REF!</definedName>
    <definedName name="Name12d">'[1]Library procedures'!#REF!</definedName>
    <definedName name="Name13a">'[1]Library procedures'!#REF!</definedName>
    <definedName name="Name13b">'[1]Library procedures'!#REF!</definedName>
    <definedName name="Name13c">'[1]Library procedures'!#REF!</definedName>
    <definedName name="Name13d">'[1]Library procedures'!#REF!</definedName>
    <definedName name="Name13e">'[1]Library procedures'!#REF!</definedName>
    <definedName name="Name3a">'[1]Library procedures'!#REF!</definedName>
    <definedName name="Name3b">'[1]Library procedures'!#REF!</definedName>
    <definedName name="Name3c">'[1]Library procedures'!#REF!</definedName>
    <definedName name="Name3d">'[1]Library procedures'!#REF!</definedName>
    <definedName name="Name3e">'[1]Library procedures'!#REF!</definedName>
    <definedName name="Name4a">'[1]Library procedures'!#REF!</definedName>
    <definedName name="Name4b">'[1]Library procedures'!#REF!</definedName>
    <definedName name="Name4c">'[1]Library procedures'!#REF!</definedName>
    <definedName name="Name4d">'[1]Library procedures'!#REF!</definedName>
    <definedName name="Name4e">'[1]Library procedures'!#REF!</definedName>
    <definedName name="Name4f">'[1]Library procedures'!#REF!</definedName>
    <definedName name="Name4g">'[1]Library procedures'!#REF!</definedName>
    <definedName name="Name5a">'[1]Library procedures'!#REF!</definedName>
    <definedName name="Name5b">'[1]Library procedures'!#REF!</definedName>
    <definedName name="Name5c">'[1]Library procedures'!#REF!</definedName>
    <definedName name="Name7a">'[1]Library procedures'!$K$21</definedName>
    <definedName name="Name7b">'[1]Library procedures'!#REF!</definedName>
    <definedName name="Name7c">'[1]Library procedures'!$K$25</definedName>
    <definedName name="Name8a">'[1]Library procedures'!$K$30</definedName>
    <definedName name="Name8b">'[1]Library procedures'!$K$34</definedName>
    <definedName name="Name8c">'[1]Library procedures'!#REF!</definedName>
    <definedName name="Name9a">'[1]Library procedures'!#REF!</definedName>
    <definedName name="Name9b">'[1]Library procedures'!#REF!</definedName>
    <definedName name="Name9c">'[1]Library procedures'!#REF!</definedName>
    <definedName name="Name9d">'[1]Library procedures'!#REF!</definedName>
    <definedName name="Name9e">'[1]Library procedures'!#REF!</definedName>
    <definedName name="Name9f">'[1]Library procedures'!#REF!</definedName>
    <definedName name="NSProjectionMethodIndex">'[2]Non-Statistical Sampling Master'!$C$63</definedName>
    <definedName name="NSRequiredLevelOfEvidenceItems">'[2]Non-Statistical Sampling Master'!$C$50:$C$53</definedName>
    <definedName name="NSTargetedTestingItems">'[2]Two Step Revenue Testing Master'!$E$47</definedName>
    <definedName name="PIE">'[2]Two Step Revenue Testing Master'!$C$87</definedName>
    <definedName name="RationaleCommentBox">#REF!</definedName>
    <definedName name="RationaleCommentBox2">#REF!</definedName>
    <definedName name="RationaleTextBox">#REF!</definedName>
    <definedName name="RationaleTextBox2">#REF!</definedName>
    <definedName name="TestingPerfCommentBox">#REF!</definedName>
    <definedName name="TestingPerfCommentBox2">#REF!</definedName>
    <definedName name="TestingPerfTextBox">#REF!</definedName>
    <definedName name="TestingPerfTextBox2">#REF!</definedName>
    <definedName name="TextBox1">#REF!</definedName>
    <definedName name="TextBox12a">'[1]Library procedures'!#REF!</definedName>
    <definedName name="TextBox12b">'[1]Library procedures'!#REF!</definedName>
    <definedName name="TextBox13a">'[1]Library procedures'!#REF!</definedName>
    <definedName name="TextBox13b">'[1]Library procedures'!#REF!</definedName>
    <definedName name="TextBox3b">'[1]Library procedures'!#REF!</definedName>
    <definedName name="TextBox4a">'[1]Library procedures'!#REF!</definedName>
    <definedName name="TextBox4b">'[1]Library procedures'!#REF!</definedName>
    <definedName name="TextBox4c">'[1]Library procedures'!#REF!</definedName>
    <definedName name="TextBox4d">'[1]Library procedures'!#REF!</definedName>
    <definedName name="TextBox4e">'[1]Library procedures'!#REF!</definedName>
    <definedName name="TextBox4f">'[1]Library procedures'!#REF!</definedName>
    <definedName name="TextBox7b">'[1]Library procedures'!#REF!</definedName>
    <definedName name="TextBox9a">'[1]Library procedures'!#REF!</definedName>
    <definedName name="TextBox9b">'[1]Library procedures'!#REF!</definedName>
    <definedName name="TextBox9c">'[1]Library procedures'!#REF!</definedName>
    <definedName name="_xlnm.Print_Titles" localSheetId="12">Cuestionario!$2:$13</definedName>
    <definedName name="TTDesiredLevelOfEvidenceItems">'[2]Global Data'!$B$92:$B$95</definedName>
    <definedName name="TwoStepMisstatementIdentified">'[2]Two Step Revenue Testing Master'!$C$85</definedName>
    <definedName name="TwoStepTolerableEstMisstmtCalc">'[2]Two Step Revenue Testing Master'!$T$45</definedName>
  </definedNames>
  <calcPr calcId="191028"/>
  <pivotCaches>
    <pivotCache cacheId="0" r:id="rId18"/>
    <pivotCache cacheId="1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8" i="17" l="1"/>
  <c r="N8" i="17"/>
  <c r="M8" i="17"/>
  <c r="L8" i="17"/>
  <c r="K8" i="17"/>
  <c r="J8" i="17"/>
  <c r="I8" i="17"/>
  <c r="H8" i="17"/>
  <c r="G8" i="17"/>
  <c r="F8" i="17"/>
  <c r="E8" i="17"/>
  <c r="O32" i="17"/>
  <c r="N32" i="17"/>
  <c r="M32" i="17"/>
  <c r="L32" i="17"/>
  <c r="K32" i="17"/>
  <c r="J32" i="17"/>
  <c r="I32" i="17"/>
  <c r="H32" i="17"/>
  <c r="G32" i="17"/>
  <c r="F32" i="17"/>
  <c r="E32" i="17"/>
  <c r="O31" i="17"/>
  <c r="N31" i="17"/>
  <c r="M31" i="17"/>
  <c r="L31" i="17"/>
  <c r="K31" i="17"/>
  <c r="J31" i="17"/>
  <c r="I31" i="17"/>
  <c r="H31" i="17"/>
  <c r="O29" i="17"/>
  <c r="O28" i="17"/>
  <c r="O27" i="17"/>
  <c r="O25" i="17"/>
  <c r="O24" i="17"/>
  <c r="N29" i="17"/>
  <c r="N28" i="17"/>
  <c r="N27" i="17"/>
  <c r="N25" i="17"/>
  <c r="N24" i="17"/>
  <c r="M29" i="17"/>
  <c r="M28" i="17"/>
  <c r="M27" i="17"/>
  <c r="M25" i="17"/>
  <c r="M24" i="17"/>
  <c r="L29" i="17"/>
  <c r="L28" i="17"/>
  <c r="L27" i="17"/>
  <c r="L25" i="17"/>
  <c r="L24" i="17"/>
  <c r="K29" i="17"/>
  <c r="K28" i="17"/>
  <c r="K27" i="17"/>
  <c r="K25" i="17"/>
  <c r="K24" i="17"/>
  <c r="J29" i="17"/>
  <c r="J28" i="17"/>
  <c r="J27" i="17"/>
  <c r="J25" i="17"/>
  <c r="J24" i="17"/>
  <c r="I29" i="17"/>
  <c r="I28" i="17"/>
  <c r="I27" i="17"/>
  <c r="I25" i="17"/>
  <c r="I24" i="17"/>
  <c r="H27" i="17"/>
  <c r="H28" i="17"/>
  <c r="H29" i="17"/>
  <c r="H25" i="17"/>
  <c r="H24" i="17"/>
  <c r="G31" i="17"/>
  <c r="F31" i="17"/>
  <c r="G29" i="17"/>
  <c r="G28" i="17"/>
  <c r="G27" i="17"/>
  <c r="G25" i="17"/>
  <c r="G24" i="17"/>
  <c r="O20" i="17"/>
  <c r="O19" i="17"/>
  <c r="O18" i="17"/>
  <c r="O17" i="17"/>
  <c r="O15" i="17"/>
  <c r="O14" i="17"/>
  <c r="O10" i="17"/>
  <c r="O13" i="17"/>
  <c r="O11" i="17"/>
  <c r="N20" i="17"/>
  <c r="N19" i="17"/>
  <c r="N18" i="17"/>
  <c r="N17" i="17"/>
  <c r="N15" i="17"/>
  <c r="N14" i="17"/>
  <c r="N10" i="17"/>
  <c r="N13" i="17"/>
  <c r="N11" i="17"/>
  <c r="M20" i="17"/>
  <c r="M19" i="17"/>
  <c r="M18" i="17"/>
  <c r="M17" i="17"/>
  <c r="M15" i="17"/>
  <c r="M14" i="17"/>
  <c r="M10" i="17"/>
  <c r="M11" i="17"/>
  <c r="M13" i="17"/>
  <c r="L20" i="17"/>
  <c r="L19" i="17"/>
  <c r="L18" i="17"/>
  <c r="L17" i="17"/>
  <c r="L15" i="17"/>
  <c r="L14" i="17"/>
  <c r="L10" i="17"/>
  <c r="L13" i="17"/>
  <c r="L11" i="17"/>
  <c r="K15" i="17"/>
  <c r="J15" i="17"/>
  <c r="I15" i="17"/>
  <c r="H15" i="17"/>
  <c r="G15" i="17"/>
  <c r="F15" i="17"/>
  <c r="E15" i="17"/>
  <c r="K20" i="17"/>
  <c r="K19" i="17"/>
  <c r="K18" i="17"/>
  <c r="K17" i="17"/>
  <c r="K10" i="17"/>
  <c r="K14" i="17"/>
  <c r="K13" i="17"/>
  <c r="K11" i="17"/>
  <c r="J20" i="17"/>
  <c r="J19" i="17"/>
  <c r="J18" i="17"/>
  <c r="J17" i="17"/>
  <c r="J14" i="17"/>
  <c r="J10" i="17"/>
  <c r="J13" i="17"/>
  <c r="J11" i="17"/>
  <c r="I20" i="17"/>
  <c r="I19" i="17"/>
  <c r="I18" i="17"/>
  <c r="I17" i="17"/>
  <c r="I14" i="17"/>
  <c r="I10" i="17"/>
  <c r="I13" i="17"/>
  <c r="I11" i="17"/>
  <c r="H20" i="17"/>
  <c r="H19" i="17"/>
  <c r="H18" i="17"/>
  <c r="H17" i="17"/>
  <c r="H14" i="17"/>
  <c r="H13" i="17"/>
  <c r="H11" i="17"/>
  <c r="H10" i="17"/>
  <c r="G20" i="17"/>
  <c r="G19" i="17"/>
  <c r="G18" i="17"/>
  <c r="G17" i="17"/>
  <c r="G14" i="17"/>
  <c r="G13" i="17"/>
  <c r="G11" i="17"/>
  <c r="G10" i="17"/>
  <c r="F29" i="17"/>
  <c r="F28" i="17"/>
  <c r="F27" i="17"/>
  <c r="F25" i="17"/>
  <c r="F24" i="17"/>
  <c r="F20" i="17"/>
  <c r="F19" i="17"/>
  <c r="F18" i="17"/>
  <c r="F17" i="17"/>
  <c r="F14" i="17"/>
  <c r="F13" i="17"/>
  <c r="F11" i="17"/>
  <c r="F10" i="17"/>
  <c r="O9" i="17"/>
  <c r="N9" i="17"/>
  <c r="M9" i="17"/>
  <c r="L9" i="17"/>
  <c r="K9" i="17"/>
  <c r="J9" i="17"/>
  <c r="I9" i="17"/>
  <c r="H9" i="17"/>
  <c r="G9" i="17"/>
  <c r="F9" i="17"/>
  <c r="E31" i="17"/>
  <c r="E29" i="17"/>
  <c r="E28" i="17"/>
  <c r="E27" i="17"/>
  <c r="E25" i="17"/>
  <c r="E24" i="17"/>
  <c r="E20" i="17"/>
  <c r="E19" i="17"/>
  <c r="E18" i="17"/>
  <c r="E17" i="17"/>
  <c r="E14" i="17"/>
  <c r="E13" i="17"/>
  <c r="E11" i="17"/>
  <c r="E10" i="17"/>
  <c r="E9" i="17"/>
  <c r="D32" i="17"/>
  <c r="D31" i="17"/>
  <c r="D29" i="17"/>
  <c r="D28" i="17"/>
  <c r="D27" i="17"/>
  <c r="D25" i="17"/>
  <c r="D24" i="17"/>
  <c r="D20" i="17"/>
  <c r="D19" i="17"/>
  <c r="D18" i="17"/>
  <c r="D17" i="17"/>
  <c r="D15" i="17"/>
  <c r="D14" i="17"/>
  <c r="D13" i="17"/>
  <c r="D11" i="17"/>
  <c r="D10" i="17"/>
  <c r="D9" i="17"/>
  <c r="D8" i="17"/>
  <c r="B1" i="27"/>
  <c r="J1" i="27" s="1"/>
  <c r="R1" i="27" s="1"/>
  <c r="Z1" i="27" s="1"/>
  <c r="AH1" i="27" s="1"/>
  <c r="AP1" i="27" s="1"/>
  <c r="AX1" i="27" s="1"/>
  <c r="BF1" i="27" s="1"/>
  <c r="BN1" i="27" s="1"/>
  <c r="BV1" i="27" s="1"/>
  <c r="CD1" i="27" s="1"/>
  <c r="CL1" i="27" s="1"/>
  <c r="B4" i="25"/>
  <c r="C4" i="17" s="1"/>
  <c r="C3" i="14"/>
  <c r="C3" i="15"/>
  <c r="C2" i="14"/>
  <c r="C2" i="15"/>
  <c r="C7" i="24"/>
  <c r="C6" i="24"/>
  <c r="E54" i="17"/>
  <c r="C3" i="17"/>
  <c r="C2" i="17"/>
  <c r="F11" i="25"/>
  <c r="G11" i="25" s="1"/>
  <c r="F10" i="25"/>
  <c r="G10" i="25" s="1"/>
  <c r="F9" i="25"/>
  <c r="G9" i="25" s="1"/>
  <c r="G8" i="25"/>
  <c r="C8" i="25" s="1"/>
  <c r="F8" i="25"/>
  <c r="H25" i="24"/>
  <c r="G25" i="24"/>
  <c r="F25" i="24"/>
  <c r="H24" i="24"/>
  <c r="F24" i="24"/>
  <c r="G24" i="24" s="1"/>
  <c r="H23" i="24"/>
  <c r="F23" i="24"/>
  <c r="G23" i="24" s="1"/>
  <c r="H22" i="24"/>
  <c r="F22" i="24"/>
  <c r="G22" i="24" s="1"/>
  <c r="H21" i="24"/>
  <c r="F21" i="24"/>
  <c r="G21" i="24" s="1"/>
  <c r="H20" i="24"/>
  <c r="F20" i="24"/>
  <c r="G20" i="24" s="1"/>
  <c r="H19" i="24"/>
  <c r="F19" i="24"/>
  <c r="G19" i="24" s="1"/>
  <c r="H18" i="24"/>
  <c r="F18" i="24"/>
  <c r="G18" i="24" s="1"/>
  <c r="H17" i="24"/>
  <c r="G17" i="24"/>
  <c r="F17" i="24"/>
  <c r="H16" i="24"/>
  <c r="G16" i="24"/>
  <c r="F16" i="24"/>
  <c r="H15" i="24"/>
  <c r="F15" i="24"/>
  <c r="G15" i="24" s="1"/>
  <c r="H14" i="24"/>
  <c r="H10" i="24" s="1"/>
  <c r="F14" i="24"/>
  <c r="G14" i="24" s="1"/>
  <c r="H26" i="17" l="1"/>
  <c r="H30" i="17"/>
  <c r="P32" i="17"/>
  <c r="C8" i="24"/>
  <c r="C4" i="15"/>
  <c r="O7" i="17"/>
  <c r="N7" i="17" s="1"/>
  <c r="M7" i="17" s="1"/>
  <c r="L7" i="17" s="1"/>
  <c r="K7" i="17" s="1"/>
  <c r="J7" i="17" s="1"/>
  <c r="I7" i="17" s="1"/>
  <c r="H7" i="17" s="1"/>
  <c r="G7" i="17" s="1"/>
  <c r="F7" i="17" s="1"/>
  <c r="E7" i="17" s="1"/>
  <c r="D7" i="17" s="1"/>
  <c r="U6" i="19" s="1"/>
  <c r="U7" i="19" s="1"/>
  <c r="U8" i="19" s="1"/>
  <c r="U9" i="19" s="1"/>
  <c r="U10" i="19" s="1"/>
  <c r="U11" i="19" s="1"/>
  <c r="U12" i="19" s="1"/>
  <c r="U13" i="19" s="1"/>
  <c r="U14" i="19" s="1"/>
  <c r="U15" i="19" s="1"/>
  <c r="U16" i="19" s="1"/>
  <c r="U17" i="19" s="1"/>
  <c r="C4" i="14"/>
  <c r="E21" i="17"/>
  <c r="D38" i="17"/>
  <c r="D11" i="15"/>
  <c r="D35" i="15"/>
  <c r="D36" i="15"/>
  <c r="D37" i="15"/>
  <c r="D38" i="15"/>
  <c r="D39" i="15"/>
  <c r="D40" i="15"/>
  <c r="D34" i="15"/>
  <c r="D48" i="17"/>
  <c r="F48" i="17" s="1"/>
  <c r="D47" i="17"/>
  <c r="F47" i="17" s="1"/>
  <c r="D46" i="17"/>
  <c r="F46" i="17" s="1"/>
  <c r="D45" i="17"/>
  <c r="F45" i="17" s="1"/>
  <c r="D44" i="17"/>
  <c r="D49" i="17"/>
  <c r="D50" i="17"/>
  <c r="D51" i="17"/>
  <c r="D52" i="17"/>
  <c r="D53" i="17"/>
  <c r="D43" i="17"/>
  <c r="F38" i="17"/>
  <c r="G38" i="17"/>
  <c r="H38" i="17"/>
  <c r="I38" i="17"/>
  <c r="J38" i="17"/>
  <c r="K38" i="17"/>
  <c r="L38" i="17"/>
  <c r="M38" i="17"/>
  <c r="N38" i="17"/>
  <c r="O38" i="17"/>
  <c r="D9" i="11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E9" i="11" l="1"/>
  <c r="O366" i="14" l="1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4" i="14"/>
  <c r="O435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7" i="14"/>
  <c r="O518" i="14"/>
  <c r="O519" i="14"/>
  <c r="O520" i="14"/>
  <c r="O521" i="14"/>
  <c r="O522" i="14"/>
  <c r="O523" i="14"/>
  <c r="O524" i="14"/>
  <c r="O525" i="14"/>
  <c r="O526" i="14"/>
  <c r="O527" i="14"/>
  <c r="O528" i="14"/>
  <c r="O529" i="14"/>
  <c r="O530" i="14"/>
  <c r="O531" i="14"/>
  <c r="O532" i="14"/>
  <c r="O533" i="14"/>
  <c r="O534" i="14"/>
  <c r="O535" i="14"/>
  <c r="O536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7" i="14"/>
  <c r="O558" i="14"/>
  <c r="O559" i="14"/>
  <c r="O560" i="14"/>
  <c r="O561" i="14"/>
  <c r="O562" i="14"/>
  <c r="O563" i="14"/>
  <c r="O564" i="14"/>
  <c r="O565" i="14"/>
  <c r="O566" i="14"/>
  <c r="O567" i="14"/>
  <c r="O568" i="14"/>
  <c r="O569" i="14"/>
  <c r="O570" i="14"/>
  <c r="O571" i="14"/>
  <c r="O572" i="14"/>
  <c r="O573" i="14"/>
  <c r="O574" i="14"/>
  <c r="O575" i="14"/>
  <c r="O576" i="14"/>
  <c r="O577" i="14"/>
  <c r="O578" i="14"/>
  <c r="O57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7" i="14"/>
  <c r="O608" i="14"/>
  <c r="O609" i="14"/>
  <c r="O610" i="14"/>
  <c r="O611" i="14"/>
  <c r="O612" i="14"/>
  <c r="O613" i="14"/>
  <c r="O614" i="14"/>
  <c r="O615" i="14"/>
  <c r="O616" i="14"/>
  <c r="O617" i="14"/>
  <c r="O618" i="14"/>
  <c r="O619" i="14"/>
  <c r="O620" i="14"/>
  <c r="O621" i="14"/>
  <c r="O622" i="14"/>
  <c r="O623" i="14"/>
  <c r="O624" i="14"/>
  <c r="O625" i="14"/>
  <c r="O626" i="14"/>
  <c r="O627" i="14"/>
  <c r="O628" i="14"/>
  <c r="O629" i="14"/>
  <c r="O630" i="14"/>
  <c r="O631" i="14"/>
  <c r="O632" i="14"/>
  <c r="O633" i="14"/>
  <c r="O634" i="14"/>
  <c r="O635" i="14"/>
  <c r="O636" i="14"/>
  <c r="O637" i="14"/>
  <c r="O638" i="14"/>
  <c r="O639" i="14"/>
  <c r="O640" i="14"/>
  <c r="O641" i="14"/>
  <c r="O642" i="14"/>
  <c r="O643" i="14"/>
  <c r="O644" i="14"/>
  <c r="O645" i="14"/>
  <c r="O646" i="14"/>
  <c r="O647" i="14"/>
  <c r="O648" i="14"/>
  <c r="O649" i="14"/>
  <c r="O650" i="14"/>
  <c r="O651" i="14"/>
  <c r="O652" i="14"/>
  <c r="O653" i="14"/>
  <c r="O654" i="14"/>
  <c r="O655" i="14"/>
  <c r="O656" i="14"/>
  <c r="O657" i="14"/>
  <c r="O658" i="14"/>
  <c r="O659" i="14"/>
  <c r="O660" i="14"/>
  <c r="O661" i="14"/>
  <c r="O662" i="14"/>
  <c r="O663" i="14"/>
  <c r="O664" i="14"/>
  <c r="O665" i="14"/>
  <c r="O666" i="14"/>
  <c r="O667" i="14"/>
  <c r="O668" i="14"/>
  <c r="O669" i="14"/>
  <c r="O670" i="14"/>
  <c r="O671" i="14"/>
  <c r="O672" i="14"/>
  <c r="O673" i="14"/>
  <c r="O674" i="14"/>
  <c r="O675" i="14"/>
  <c r="O676" i="14"/>
  <c r="O677" i="14"/>
  <c r="O678" i="14"/>
  <c r="O679" i="14"/>
  <c r="O680" i="14"/>
  <c r="O681" i="14"/>
  <c r="O682" i="14"/>
  <c r="O683" i="14"/>
  <c r="O684" i="14"/>
  <c r="O685" i="14"/>
  <c r="O686" i="14"/>
  <c r="O687" i="14"/>
  <c r="O688" i="14"/>
  <c r="O689" i="14"/>
  <c r="O690" i="14"/>
  <c r="O691" i="14"/>
  <c r="O692" i="14"/>
  <c r="O693" i="14"/>
  <c r="O694" i="14"/>
  <c r="O695" i="14"/>
  <c r="O696" i="14"/>
  <c r="O697" i="14"/>
  <c r="O698" i="14"/>
  <c r="O699" i="14"/>
  <c r="O700" i="14"/>
  <c r="O701" i="14"/>
  <c r="O702" i="14"/>
  <c r="O703" i="14"/>
  <c r="O704" i="14"/>
  <c r="O705" i="14"/>
  <c r="O706" i="14"/>
  <c r="O707" i="14"/>
  <c r="O708" i="14"/>
  <c r="O709" i="14"/>
  <c r="O710" i="14"/>
  <c r="O711" i="14"/>
  <c r="O712" i="14"/>
  <c r="O713" i="14"/>
  <c r="O714" i="14"/>
  <c r="O715" i="14"/>
  <c r="O716" i="14"/>
  <c r="O717" i="14"/>
  <c r="O718" i="14"/>
  <c r="O719" i="14"/>
  <c r="O720" i="14"/>
  <c r="O721" i="14"/>
  <c r="O722" i="14"/>
  <c r="O723" i="14"/>
  <c r="O724" i="14"/>
  <c r="O725" i="14"/>
  <c r="O726" i="14"/>
  <c r="O727" i="14"/>
  <c r="O728" i="14"/>
  <c r="O729" i="14"/>
  <c r="O730" i="14"/>
  <c r="O731" i="14"/>
  <c r="O732" i="14"/>
  <c r="O733" i="14"/>
  <c r="O734" i="14"/>
  <c r="O735" i="14"/>
  <c r="O736" i="14"/>
  <c r="O737" i="14"/>
  <c r="O738" i="14"/>
  <c r="O739" i="14"/>
  <c r="O740" i="14"/>
  <c r="O741" i="14"/>
  <c r="O742" i="14"/>
  <c r="O743" i="14"/>
  <c r="O744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3" i="14"/>
  <c r="O764" i="14"/>
  <c r="O765" i="14"/>
  <c r="O766" i="14"/>
  <c r="O767" i="14"/>
  <c r="O768" i="14"/>
  <c r="O769" i="14"/>
  <c r="O770" i="14"/>
  <c r="O771" i="14"/>
  <c r="O772" i="14"/>
  <c r="O773" i="14"/>
  <c r="O774" i="14"/>
  <c r="O775" i="14"/>
  <c r="O776" i="14"/>
  <c r="O777" i="14"/>
  <c r="O778" i="14"/>
  <c r="O779" i="14"/>
  <c r="O780" i="14"/>
  <c r="O781" i="14"/>
  <c r="O782" i="14"/>
  <c r="O783" i="14"/>
  <c r="O784" i="14"/>
  <c r="O785" i="14"/>
  <c r="O786" i="14"/>
  <c r="O787" i="14"/>
  <c r="O788" i="14"/>
  <c r="O789" i="14"/>
  <c r="O790" i="14"/>
  <c r="O791" i="14"/>
  <c r="O792" i="14"/>
  <c r="O793" i="14"/>
  <c r="O794" i="14"/>
  <c r="O795" i="14"/>
  <c r="O796" i="14"/>
  <c r="O797" i="14"/>
  <c r="O798" i="14"/>
  <c r="O799" i="14"/>
  <c r="O800" i="14"/>
  <c r="O801" i="14"/>
  <c r="O802" i="14"/>
  <c r="O803" i="14"/>
  <c r="O804" i="14"/>
  <c r="O805" i="14"/>
  <c r="O806" i="14"/>
  <c r="O807" i="14"/>
  <c r="O808" i="14"/>
  <c r="O809" i="14"/>
  <c r="O810" i="14"/>
  <c r="O811" i="14"/>
  <c r="O812" i="14"/>
  <c r="O813" i="14"/>
  <c r="O814" i="14"/>
  <c r="O815" i="14"/>
  <c r="O816" i="14"/>
  <c r="O817" i="14"/>
  <c r="O818" i="14"/>
  <c r="O819" i="14"/>
  <c r="O820" i="14"/>
  <c r="O821" i="14"/>
  <c r="O822" i="14"/>
  <c r="O823" i="14"/>
  <c r="O824" i="14"/>
  <c r="O825" i="14"/>
  <c r="O826" i="14"/>
  <c r="O827" i="14"/>
  <c r="O828" i="14"/>
  <c r="O829" i="14"/>
  <c r="O830" i="14"/>
  <c r="O831" i="14"/>
  <c r="O832" i="14"/>
  <c r="O833" i="14"/>
  <c r="O834" i="14"/>
  <c r="O835" i="14"/>
  <c r="O836" i="14"/>
  <c r="O837" i="14"/>
  <c r="O838" i="14"/>
  <c r="O839" i="14"/>
  <c r="O840" i="14"/>
  <c r="O841" i="14"/>
  <c r="O842" i="14"/>
  <c r="O843" i="14"/>
  <c r="O844" i="14"/>
  <c r="O845" i="14"/>
  <c r="O846" i="14"/>
  <c r="O847" i="14"/>
  <c r="O848" i="14"/>
  <c r="O849" i="14"/>
  <c r="O850" i="14"/>
  <c r="O851" i="14"/>
  <c r="O852" i="14"/>
  <c r="O853" i="14"/>
  <c r="O854" i="14"/>
  <c r="O855" i="14"/>
  <c r="O856" i="14"/>
  <c r="O857" i="14"/>
  <c r="O858" i="14"/>
  <c r="O859" i="14"/>
  <c r="O860" i="14"/>
  <c r="O861" i="14"/>
  <c r="O862" i="14"/>
  <c r="O863" i="14"/>
  <c r="O864" i="14"/>
  <c r="O865" i="14"/>
  <c r="O866" i="14"/>
  <c r="O867" i="14"/>
  <c r="O868" i="14"/>
  <c r="O869" i="14"/>
  <c r="O870" i="14"/>
  <c r="O871" i="14"/>
  <c r="O872" i="14"/>
  <c r="O873" i="14"/>
  <c r="O874" i="14"/>
  <c r="O875" i="14"/>
  <c r="O876" i="14"/>
  <c r="O877" i="14"/>
  <c r="O878" i="14"/>
  <c r="O879" i="14"/>
  <c r="O880" i="14"/>
  <c r="O881" i="14"/>
  <c r="O882" i="14"/>
  <c r="O883" i="14"/>
  <c r="O884" i="14"/>
  <c r="O885" i="14"/>
  <c r="O886" i="14"/>
  <c r="O887" i="14"/>
  <c r="O888" i="14"/>
  <c r="O889" i="14"/>
  <c r="O890" i="14"/>
  <c r="O891" i="14"/>
  <c r="O892" i="14"/>
  <c r="O893" i="14"/>
  <c r="O894" i="14"/>
  <c r="O895" i="14"/>
  <c r="O896" i="14"/>
  <c r="O897" i="14"/>
  <c r="O898" i="14"/>
  <c r="O899" i="14"/>
  <c r="O900" i="14"/>
  <c r="O901" i="14"/>
  <c r="O902" i="14"/>
  <c r="O903" i="14"/>
  <c r="O904" i="14"/>
  <c r="O905" i="14"/>
  <c r="O906" i="14"/>
  <c r="O907" i="14"/>
  <c r="O908" i="14"/>
  <c r="O909" i="14"/>
  <c r="O910" i="14"/>
  <c r="O911" i="14"/>
  <c r="O912" i="14"/>
  <c r="O913" i="14"/>
  <c r="O914" i="14"/>
  <c r="O915" i="14"/>
  <c r="O916" i="14"/>
  <c r="O917" i="14"/>
  <c r="O918" i="14"/>
  <c r="O919" i="14"/>
  <c r="O920" i="14"/>
  <c r="O921" i="14"/>
  <c r="O922" i="14"/>
  <c r="O923" i="14"/>
  <c r="O924" i="14"/>
  <c r="O925" i="14"/>
  <c r="O926" i="14"/>
  <c r="O927" i="14"/>
  <c r="O928" i="14"/>
  <c r="O929" i="14"/>
  <c r="O930" i="14"/>
  <c r="O931" i="14"/>
  <c r="O932" i="14"/>
  <c r="O933" i="14"/>
  <c r="O934" i="14"/>
  <c r="O935" i="14"/>
  <c r="O936" i="14"/>
  <c r="O937" i="14"/>
  <c r="O938" i="14"/>
  <c r="O939" i="14"/>
  <c r="O940" i="14"/>
  <c r="O941" i="14"/>
  <c r="O942" i="14"/>
  <c r="O943" i="14"/>
  <c r="O944" i="14"/>
  <c r="O945" i="14"/>
  <c r="O946" i="14"/>
  <c r="O947" i="14"/>
  <c r="O948" i="14"/>
  <c r="O949" i="14"/>
  <c r="O950" i="14"/>
  <c r="O951" i="14"/>
  <c r="O952" i="14"/>
  <c r="O953" i="14"/>
  <c r="O954" i="14"/>
  <c r="O955" i="14"/>
  <c r="O956" i="14"/>
  <c r="O957" i="14"/>
  <c r="O958" i="14"/>
  <c r="O959" i="14"/>
  <c r="O960" i="14"/>
  <c r="O961" i="14"/>
  <c r="O962" i="14"/>
  <c r="O963" i="14"/>
  <c r="O964" i="14"/>
  <c r="O965" i="14"/>
  <c r="O966" i="14"/>
  <c r="O967" i="14"/>
  <c r="O968" i="14"/>
  <c r="O969" i="14"/>
  <c r="O970" i="14"/>
  <c r="O971" i="14"/>
  <c r="O972" i="14"/>
  <c r="O973" i="14"/>
  <c r="O974" i="14"/>
  <c r="O975" i="14"/>
  <c r="O976" i="14"/>
  <c r="O977" i="14"/>
  <c r="O978" i="14"/>
  <c r="O979" i="14"/>
  <c r="O980" i="14"/>
  <c r="O981" i="14"/>
  <c r="O982" i="14"/>
  <c r="O983" i="14"/>
  <c r="O984" i="14"/>
  <c r="O985" i="14"/>
  <c r="O986" i="14"/>
  <c r="O987" i="14"/>
  <c r="O988" i="14"/>
  <c r="O989" i="14"/>
  <c r="O990" i="14"/>
  <c r="O991" i="14"/>
  <c r="O992" i="14"/>
  <c r="O993" i="14"/>
  <c r="O994" i="14"/>
  <c r="O995" i="14"/>
  <c r="O996" i="14"/>
  <c r="O997" i="14"/>
  <c r="O998" i="14"/>
  <c r="O999" i="14"/>
  <c r="O1000" i="14"/>
  <c r="O1001" i="14"/>
  <c r="O1002" i="14"/>
  <c r="O1003" i="14"/>
  <c r="O1004" i="14"/>
  <c r="O1005" i="14"/>
  <c r="O1006" i="14"/>
  <c r="O1007" i="14"/>
  <c r="O1008" i="14"/>
  <c r="O1009" i="14"/>
  <c r="O1010" i="14"/>
  <c r="O1011" i="14"/>
  <c r="O1012" i="14"/>
  <c r="O1013" i="14"/>
  <c r="O1014" i="14"/>
  <c r="O1015" i="14"/>
  <c r="O1016" i="14"/>
  <c r="O1017" i="14"/>
  <c r="O1018" i="14"/>
  <c r="O1019" i="14"/>
  <c r="O1020" i="14"/>
  <c r="O1021" i="14"/>
  <c r="O1022" i="14"/>
  <c r="O1023" i="14"/>
  <c r="O1024" i="14"/>
  <c r="O1025" i="14"/>
  <c r="O1026" i="14"/>
  <c r="O1027" i="14"/>
  <c r="O1028" i="14"/>
  <c r="O1029" i="14"/>
  <c r="O1030" i="14"/>
  <c r="O1031" i="14"/>
  <c r="O1032" i="14"/>
  <c r="O1033" i="14"/>
  <c r="O1034" i="14"/>
  <c r="O1035" i="14"/>
  <c r="O1036" i="14"/>
  <c r="O1037" i="14"/>
  <c r="O1038" i="14"/>
  <c r="O1039" i="14"/>
  <c r="O1040" i="14"/>
  <c r="O1041" i="14"/>
  <c r="O1042" i="14"/>
  <c r="O1043" i="14"/>
  <c r="O1044" i="14"/>
  <c r="O1045" i="14"/>
  <c r="O1046" i="14"/>
  <c r="O1047" i="14"/>
  <c r="O1048" i="14"/>
  <c r="O1049" i="14"/>
  <c r="O1050" i="14"/>
  <c r="O1051" i="14"/>
  <c r="O1052" i="14"/>
  <c r="O1053" i="14"/>
  <c r="O1054" i="14"/>
  <c r="O1055" i="14"/>
  <c r="O1056" i="14"/>
  <c r="O1057" i="14"/>
  <c r="O1058" i="14"/>
  <c r="O1059" i="14"/>
  <c r="O1060" i="14"/>
  <c r="O1061" i="14"/>
  <c r="O1062" i="14"/>
  <c r="O1063" i="14"/>
  <c r="O1064" i="14"/>
  <c r="O1065" i="14"/>
  <c r="O1066" i="14"/>
  <c r="O1067" i="14"/>
  <c r="O1068" i="14"/>
  <c r="O1069" i="14"/>
  <c r="O1070" i="14"/>
  <c r="O1071" i="14"/>
  <c r="O1072" i="14"/>
  <c r="O1073" i="14"/>
  <c r="O1074" i="14"/>
  <c r="O1075" i="14"/>
  <c r="O1076" i="14"/>
  <c r="O1077" i="14"/>
  <c r="O1078" i="14"/>
  <c r="O1079" i="14"/>
  <c r="O1080" i="14"/>
  <c r="O1081" i="14"/>
  <c r="O1082" i="14"/>
  <c r="O1083" i="14"/>
  <c r="O1084" i="14"/>
  <c r="O1085" i="14"/>
  <c r="O1086" i="14"/>
  <c r="O1087" i="14"/>
  <c r="O1088" i="14"/>
  <c r="O1089" i="14"/>
  <c r="O1090" i="14"/>
  <c r="O1091" i="14"/>
  <c r="O1092" i="14"/>
  <c r="O1093" i="14"/>
  <c r="O1094" i="14"/>
  <c r="O1095" i="14"/>
  <c r="O1096" i="14"/>
  <c r="O1097" i="14"/>
  <c r="O1098" i="14"/>
  <c r="O1099" i="14"/>
  <c r="O1100" i="14"/>
  <c r="O1101" i="14"/>
  <c r="O1102" i="14"/>
  <c r="O1103" i="14"/>
  <c r="O1104" i="14"/>
  <c r="O1105" i="14"/>
  <c r="O1106" i="14"/>
  <c r="O1107" i="14"/>
  <c r="O1108" i="14"/>
  <c r="O1109" i="14"/>
  <c r="O1110" i="14"/>
  <c r="O1111" i="14"/>
  <c r="O1112" i="14"/>
  <c r="O1113" i="14"/>
  <c r="O1114" i="14"/>
  <c r="O1115" i="14"/>
  <c r="O1116" i="14"/>
  <c r="O1117" i="14"/>
  <c r="O1118" i="14"/>
  <c r="O1119" i="14"/>
  <c r="O1120" i="14"/>
  <c r="O1121" i="14"/>
  <c r="O1122" i="14"/>
  <c r="O1123" i="14"/>
  <c r="O1124" i="14"/>
  <c r="O1125" i="14"/>
  <c r="O1126" i="14"/>
  <c r="O1127" i="14"/>
  <c r="O1128" i="14"/>
  <c r="O1129" i="14"/>
  <c r="O1130" i="14"/>
  <c r="O1131" i="14"/>
  <c r="O1132" i="14"/>
  <c r="O1133" i="14"/>
  <c r="O1134" i="14"/>
  <c r="O1135" i="14"/>
  <c r="O1136" i="14"/>
  <c r="O1137" i="14"/>
  <c r="O1138" i="14"/>
  <c r="O1139" i="14"/>
  <c r="O1140" i="14"/>
  <c r="O1141" i="14"/>
  <c r="O1142" i="14"/>
  <c r="O1143" i="14"/>
  <c r="O1144" i="14"/>
  <c r="O1145" i="14"/>
  <c r="O1146" i="14"/>
  <c r="O1147" i="14"/>
  <c r="O1148" i="14"/>
  <c r="O1149" i="14"/>
  <c r="O1150" i="14"/>
  <c r="O1151" i="14"/>
  <c r="O1152" i="14"/>
  <c r="O1153" i="14"/>
  <c r="O1154" i="14"/>
  <c r="O1155" i="14"/>
  <c r="O1156" i="14"/>
  <c r="O1157" i="14"/>
  <c r="O1158" i="14"/>
  <c r="O1159" i="14"/>
  <c r="O1160" i="14"/>
  <c r="O1161" i="14"/>
  <c r="O1162" i="14"/>
  <c r="O1163" i="14"/>
  <c r="O1164" i="14"/>
  <c r="O1165" i="14"/>
  <c r="O1166" i="14"/>
  <c r="O1167" i="14"/>
  <c r="O1168" i="14"/>
  <c r="O1169" i="14"/>
  <c r="O1170" i="14"/>
  <c r="O1171" i="14"/>
  <c r="O1172" i="14"/>
  <c r="O1173" i="14"/>
  <c r="O1174" i="14"/>
  <c r="O1175" i="14"/>
  <c r="O1176" i="14"/>
  <c r="O1177" i="14"/>
  <c r="O1178" i="14"/>
  <c r="O1179" i="14"/>
  <c r="O1180" i="14"/>
  <c r="O1181" i="14"/>
  <c r="O1182" i="14"/>
  <c r="O1183" i="14"/>
  <c r="O1184" i="14"/>
  <c r="O1185" i="14"/>
  <c r="O1186" i="14"/>
  <c r="O1187" i="14"/>
  <c r="O1188" i="14"/>
  <c r="O1189" i="14"/>
  <c r="O1190" i="14"/>
  <c r="O1191" i="14"/>
  <c r="O1192" i="14"/>
  <c r="O1193" i="14"/>
  <c r="O1194" i="14"/>
  <c r="O1195" i="14"/>
  <c r="O1196" i="14"/>
  <c r="O1197" i="14"/>
  <c r="O1198" i="14"/>
  <c r="O1199" i="14"/>
  <c r="O1200" i="14"/>
  <c r="O1201" i="14"/>
  <c r="O1202" i="14"/>
  <c r="O1203" i="14"/>
  <c r="O1204" i="14"/>
  <c r="O1205" i="14"/>
  <c r="O1206" i="14"/>
  <c r="O1207" i="14"/>
  <c r="O1208" i="14"/>
  <c r="O1209" i="14"/>
  <c r="O1210" i="14"/>
  <c r="O1211" i="14"/>
  <c r="O1212" i="14"/>
  <c r="O1213" i="14"/>
  <c r="O1214" i="14"/>
  <c r="O1215" i="14"/>
  <c r="O1216" i="14"/>
  <c r="O1217" i="14"/>
  <c r="O1218" i="14"/>
  <c r="O1219" i="14"/>
  <c r="O1220" i="14"/>
  <c r="O1221" i="14"/>
  <c r="O1222" i="14"/>
  <c r="O1223" i="14"/>
  <c r="O1224" i="14"/>
  <c r="O1225" i="14"/>
  <c r="O1226" i="14"/>
  <c r="O1227" i="14"/>
  <c r="O1228" i="14"/>
  <c r="O1229" i="14"/>
  <c r="O1230" i="14"/>
  <c r="O1231" i="14"/>
  <c r="O1232" i="14"/>
  <c r="O1233" i="14"/>
  <c r="O1234" i="14"/>
  <c r="O1235" i="14"/>
  <c r="O1236" i="14"/>
  <c r="O1237" i="14"/>
  <c r="O1238" i="14"/>
  <c r="O1239" i="14"/>
  <c r="O1240" i="14"/>
  <c r="O1241" i="14"/>
  <c r="O1242" i="14"/>
  <c r="O1243" i="14"/>
  <c r="O1244" i="14"/>
  <c r="O1245" i="14"/>
  <c r="O1246" i="14"/>
  <c r="O1247" i="14"/>
  <c r="O1248" i="14"/>
  <c r="O1249" i="14"/>
  <c r="O1250" i="14"/>
  <c r="O1251" i="14"/>
  <c r="O1252" i="14"/>
  <c r="O1253" i="14"/>
  <c r="O1254" i="14"/>
  <c r="O1255" i="14"/>
  <c r="O1256" i="14"/>
  <c r="O1257" i="14"/>
  <c r="O1258" i="14"/>
  <c r="O1259" i="14"/>
  <c r="O1260" i="14"/>
  <c r="O1261" i="14"/>
  <c r="O1262" i="14"/>
  <c r="O1263" i="14"/>
  <c r="O1264" i="14"/>
  <c r="O1265" i="14"/>
  <c r="O1266" i="14"/>
  <c r="O1267" i="14"/>
  <c r="O1268" i="14"/>
  <c r="O1269" i="14"/>
  <c r="O1270" i="14"/>
  <c r="O1271" i="14"/>
  <c r="O1272" i="14"/>
  <c r="O1273" i="14"/>
  <c r="O1274" i="14"/>
  <c r="O1275" i="14"/>
  <c r="O1276" i="14"/>
  <c r="O1277" i="14"/>
  <c r="O1278" i="14"/>
  <c r="O1279" i="14"/>
  <c r="O1280" i="14"/>
  <c r="O1281" i="14"/>
  <c r="O1282" i="14"/>
  <c r="O1283" i="14"/>
  <c r="O1284" i="14"/>
  <c r="O1285" i="14"/>
  <c r="O1286" i="14"/>
  <c r="O1287" i="14"/>
  <c r="O1288" i="14"/>
  <c r="O1289" i="14"/>
  <c r="O1290" i="14"/>
  <c r="O1291" i="14"/>
  <c r="O1292" i="14"/>
  <c r="O1293" i="14"/>
  <c r="O1294" i="14"/>
  <c r="O1295" i="14"/>
  <c r="O1296" i="14"/>
  <c r="O1297" i="14"/>
  <c r="O1298" i="14"/>
  <c r="O1299" i="14"/>
  <c r="O1300" i="14"/>
  <c r="O1301" i="14"/>
  <c r="O1302" i="14"/>
  <c r="O1303" i="14"/>
  <c r="O1304" i="14"/>
  <c r="O1305" i="14"/>
  <c r="O1306" i="14"/>
  <c r="O1307" i="14"/>
  <c r="O1308" i="14"/>
  <c r="O1309" i="14"/>
  <c r="O1310" i="14"/>
  <c r="O1311" i="14"/>
  <c r="O1312" i="14"/>
  <c r="O1313" i="14"/>
  <c r="O1314" i="14"/>
  <c r="O1315" i="14"/>
  <c r="O1316" i="14"/>
  <c r="O1317" i="14"/>
  <c r="O1318" i="14"/>
  <c r="O1319" i="14"/>
  <c r="O1320" i="14"/>
  <c r="O1321" i="14"/>
  <c r="O1322" i="14"/>
  <c r="O1323" i="14"/>
  <c r="O1324" i="14"/>
  <c r="O1325" i="14"/>
  <c r="O1326" i="14"/>
  <c r="O1327" i="14"/>
  <c r="O1328" i="14"/>
  <c r="O1329" i="14"/>
  <c r="O1330" i="14"/>
  <c r="O1331" i="14"/>
  <c r="O1332" i="14"/>
  <c r="O1333" i="14"/>
  <c r="O1334" i="14"/>
  <c r="O1335" i="14"/>
  <c r="O1336" i="14"/>
  <c r="O1337" i="14"/>
  <c r="O1338" i="14"/>
  <c r="O1339" i="14"/>
  <c r="O1340" i="14"/>
  <c r="O1341" i="14"/>
  <c r="O1342" i="14"/>
  <c r="O1343" i="14"/>
  <c r="O1344" i="14"/>
  <c r="O1345" i="14"/>
  <c r="O1346" i="14"/>
  <c r="O1347" i="14"/>
  <c r="O1348" i="14"/>
  <c r="O1349" i="14"/>
  <c r="O1350" i="14"/>
  <c r="O1351" i="14"/>
  <c r="O1352" i="14"/>
  <c r="O1353" i="14"/>
  <c r="O1354" i="14"/>
  <c r="O1355" i="14"/>
  <c r="O1356" i="14"/>
  <c r="O1357" i="14"/>
  <c r="O1358" i="14"/>
  <c r="O1359" i="14"/>
  <c r="O1360" i="14"/>
  <c r="O1361" i="14"/>
  <c r="O1362" i="14"/>
  <c r="O1363" i="14"/>
  <c r="O1364" i="14"/>
  <c r="O1365" i="14"/>
  <c r="O1366" i="14"/>
  <c r="O1367" i="14"/>
  <c r="O1368" i="14"/>
  <c r="O1369" i="14"/>
  <c r="O1370" i="14"/>
  <c r="O1371" i="14"/>
  <c r="O1372" i="14"/>
  <c r="O1373" i="14"/>
  <c r="O1374" i="14"/>
  <c r="O1375" i="14"/>
  <c r="O1376" i="14"/>
  <c r="O1377" i="14"/>
  <c r="O1378" i="14"/>
  <c r="O1379" i="14"/>
  <c r="O1380" i="14"/>
  <c r="O1381" i="14"/>
  <c r="O1382" i="14"/>
  <c r="O1383" i="14"/>
  <c r="O1384" i="14"/>
  <c r="O1385" i="14"/>
  <c r="O1386" i="14"/>
  <c r="O1387" i="14"/>
  <c r="O1388" i="14"/>
  <c r="O1389" i="14"/>
  <c r="O1390" i="14"/>
  <c r="O1391" i="14"/>
  <c r="O1392" i="14"/>
  <c r="O1393" i="14"/>
  <c r="O1394" i="14"/>
  <c r="O1395" i="14"/>
  <c r="O1396" i="14"/>
  <c r="O1397" i="14"/>
  <c r="O1398" i="14"/>
  <c r="O1399" i="14"/>
  <c r="O1400" i="14"/>
  <c r="O1401" i="14"/>
  <c r="O1402" i="14"/>
  <c r="O1403" i="14"/>
  <c r="O1404" i="14"/>
  <c r="O1405" i="14"/>
  <c r="O1406" i="14"/>
  <c r="O1407" i="14"/>
  <c r="O1408" i="14"/>
  <c r="O1409" i="14"/>
  <c r="O1410" i="14"/>
  <c r="O1411" i="14"/>
  <c r="O1412" i="14"/>
  <c r="O1413" i="14"/>
  <c r="O1414" i="14"/>
  <c r="O1415" i="14"/>
  <c r="O1416" i="14"/>
  <c r="O1417" i="14"/>
  <c r="O1418" i="14"/>
  <c r="O1419" i="14"/>
  <c r="O1420" i="14"/>
  <c r="O1421" i="14"/>
  <c r="O1422" i="14"/>
  <c r="O1423" i="14"/>
  <c r="O1424" i="14"/>
  <c r="O1425" i="14"/>
  <c r="O1426" i="14"/>
  <c r="O1427" i="14"/>
  <c r="O1428" i="14"/>
  <c r="O1429" i="14"/>
  <c r="O1430" i="14"/>
  <c r="O1431" i="14"/>
  <c r="O1432" i="14"/>
  <c r="O1433" i="14"/>
  <c r="O1434" i="14"/>
  <c r="O1435" i="14"/>
  <c r="O1436" i="14"/>
  <c r="O1437" i="14"/>
  <c r="O1438" i="14"/>
  <c r="O1439" i="14"/>
  <c r="O1440" i="14"/>
  <c r="O1441" i="14"/>
  <c r="O1442" i="14"/>
  <c r="O1443" i="14"/>
  <c r="O1444" i="14"/>
  <c r="O1445" i="14"/>
  <c r="O1446" i="14"/>
  <c r="O1447" i="14"/>
  <c r="O1448" i="14"/>
  <c r="O1449" i="14"/>
  <c r="O1450" i="14"/>
  <c r="O1451" i="14"/>
  <c r="O1452" i="14"/>
  <c r="O1453" i="14"/>
  <c r="O1454" i="14"/>
  <c r="O1455" i="14"/>
  <c r="O1456" i="14"/>
  <c r="O1457" i="14"/>
  <c r="O1458" i="14"/>
  <c r="O1459" i="14"/>
  <c r="O1460" i="14"/>
  <c r="O1461" i="14"/>
  <c r="O1462" i="14"/>
  <c r="O1463" i="14"/>
  <c r="O1464" i="14"/>
  <c r="O1465" i="14"/>
  <c r="O1466" i="14"/>
  <c r="O1467" i="14"/>
  <c r="O1468" i="14"/>
  <c r="O1469" i="14"/>
  <c r="O1470" i="14"/>
  <c r="O1471" i="14"/>
  <c r="O1472" i="14"/>
  <c r="O1473" i="14"/>
  <c r="O1474" i="14"/>
  <c r="O1475" i="14"/>
  <c r="O1476" i="14"/>
  <c r="O1477" i="14"/>
  <c r="O1478" i="14"/>
  <c r="O1479" i="14"/>
  <c r="O1480" i="14"/>
  <c r="O1481" i="14"/>
  <c r="O1482" i="14"/>
  <c r="O1483" i="14"/>
  <c r="O1484" i="14"/>
  <c r="O1485" i="14"/>
  <c r="O1486" i="14"/>
  <c r="O1487" i="14"/>
  <c r="O1488" i="14"/>
  <c r="O1489" i="14"/>
  <c r="O1490" i="14"/>
  <c r="O1491" i="14"/>
  <c r="O1492" i="14"/>
  <c r="O1493" i="14"/>
  <c r="O1494" i="14"/>
  <c r="O1495" i="14"/>
  <c r="O1496" i="14"/>
  <c r="O1497" i="14"/>
  <c r="O1498" i="14"/>
  <c r="O1499" i="14"/>
  <c r="O1500" i="14"/>
  <c r="O1501" i="14"/>
  <c r="O1502" i="14"/>
  <c r="O1503" i="14"/>
  <c r="O1504" i="14"/>
  <c r="O1505" i="14"/>
  <c r="O1506" i="14"/>
  <c r="O1507" i="14"/>
  <c r="O1508" i="14"/>
  <c r="O1509" i="14"/>
  <c r="O1510" i="14"/>
  <c r="O1511" i="14"/>
  <c r="O1512" i="14"/>
  <c r="O1513" i="14"/>
  <c r="O1514" i="14"/>
  <c r="O1515" i="14"/>
  <c r="O1516" i="14"/>
  <c r="O1517" i="14"/>
  <c r="O1518" i="14"/>
  <c r="O1519" i="14"/>
  <c r="O1520" i="14"/>
  <c r="O1521" i="14"/>
  <c r="O1522" i="14"/>
  <c r="O1523" i="14"/>
  <c r="O1524" i="14"/>
  <c r="O1525" i="14"/>
  <c r="O1526" i="14"/>
  <c r="O1527" i="14"/>
  <c r="O1528" i="14"/>
  <c r="O1529" i="14"/>
  <c r="O1530" i="14"/>
  <c r="O1531" i="14"/>
  <c r="O1532" i="14"/>
  <c r="O1533" i="14"/>
  <c r="O1534" i="14"/>
  <c r="O1535" i="14"/>
  <c r="O1536" i="14"/>
  <c r="O1537" i="14"/>
  <c r="O1538" i="14"/>
  <c r="O1539" i="14"/>
  <c r="O1540" i="14"/>
  <c r="O1541" i="14"/>
  <c r="O1542" i="14"/>
  <c r="O1543" i="14"/>
  <c r="O1544" i="14"/>
  <c r="O1545" i="14"/>
  <c r="O1546" i="14"/>
  <c r="O1547" i="14"/>
  <c r="O1548" i="14"/>
  <c r="O1549" i="14"/>
  <c r="O1550" i="14"/>
  <c r="O1551" i="14"/>
  <c r="O1552" i="14"/>
  <c r="O1553" i="14"/>
  <c r="O1554" i="14"/>
  <c r="O1555" i="14"/>
  <c r="O1556" i="14"/>
  <c r="O1557" i="14"/>
  <c r="O1558" i="14"/>
  <c r="O1559" i="14"/>
  <c r="O1560" i="14"/>
  <c r="O1561" i="14"/>
  <c r="O1562" i="14"/>
  <c r="O1563" i="14"/>
  <c r="O1564" i="14"/>
  <c r="O1565" i="14"/>
  <c r="O1566" i="14"/>
  <c r="O1567" i="14"/>
  <c r="O1568" i="14"/>
  <c r="O1569" i="14"/>
  <c r="O1570" i="14"/>
  <c r="O1571" i="14"/>
  <c r="O1572" i="14"/>
  <c r="O1573" i="14"/>
  <c r="O1574" i="14"/>
  <c r="O1575" i="14"/>
  <c r="O1576" i="14"/>
  <c r="O1577" i="14"/>
  <c r="O1578" i="14"/>
  <c r="O1579" i="14"/>
  <c r="O1580" i="14"/>
  <c r="O1581" i="14"/>
  <c r="O1582" i="14"/>
  <c r="O1583" i="14"/>
  <c r="O1584" i="14"/>
  <c r="O1585" i="14"/>
  <c r="O1586" i="14"/>
  <c r="O1587" i="14"/>
  <c r="O1588" i="14"/>
  <c r="O1589" i="14"/>
  <c r="O1590" i="14"/>
  <c r="O1591" i="14"/>
  <c r="O1592" i="14"/>
  <c r="O1593" i="14"/>
  <c r="O1594" i="14"/>
  <c r="O1595" i="14"/>
  <c r="O1596" i="14"/>
  <c r="O1597" i="14"/>
  <c r="O1598" i="14"/>
  <c r="O1599" i="14"/>
  <c r="O1600" i="14"/>
  <c r="O1601" i="14"/>
  <c r="O1602" i="14"/>
  <c r="O1603" i="14"/>
  <c r="O1604" i="14"/>
  <c r="O1605" i="14"/>
  <c r="O1606" i="14"/>
  <c r="O1607" i="14"/>
  <c r="O1608" i="14"/>
  <c r="O1609" i="14"/>
  <c r="O1610" i="14"/>
  <c r="O1611" i="14"/>
  <c r="O1612" i="14"/>
  <c r="O1613" i="14"/>
  <c r="O1614" i="14"/>
  <c r="O1615" i="14"/>
  <c r="O1616" i="14"/>
  <c r="O1617" i="14"/>
  <c r="O1618" i="14"/>
  <c r="O1619" i="14"/>
  <c r="O1620" i="14"/>
  <c r="O1621" i="14"/>
  <c r="O1622" i="14"/>
  <c r="O1623" i="14"/>
  <c r="O1624" i="14"/>
  <c r="O1625" i="14"/>
  <c r="O1626" i="14"/>
  <c r="O1627" i="14"/>
  <c r="O1628" i="14"/>
  <c r="O1629" i="14"/>
  <c r="O1630" i="14"/>
  <c r="O1631" i="14"/>
  <c r="O1632" i="14"/>
  <c r="O1633" i="14"/>
  <c r="O1634" i="14"/>
  <c r="O1635" i="14"/>
  <c r="O1636" i="14"/>
  <c r="O1637" i="14"/>
  <c r="O1638" i="14"/>
  <c r="O1639" i="14"/>
  <c r="O1640" i="14"/>
  <c r="O1641" i="14"/>
  <c r="O1642" i="14"/>
  <c r="O1643" i="14"/>
  <c r="O1644" i="14"/>
  <c r="O1645" i="14"/>
  <c r="O1646" i="14"/>
  <c r="O1647" i="14"/>
  <c r="O1648" i="14"/>
  <c r="O1649" i="14"/>
  <c r="O1650" i="14"/>
  <c r="O1651" i="14"/>
  <c r="O1652" i="14"/>
  <c r="O1653" i="14"/>
  <c r="O1654" i="14"/>
  <c r="O1655" i="14"/>
  <c r="O1656" i="14"/>
  <c r="O1657" i="14"/>
  <c r="O1658" i="14"/>
  <c r="O1659" i="14"/>
  <c r="O1660" i="14"/>
  <c r="O1661" i="14"/>
  <c r="O1662" i="14"/>
  <c r="O1663" i="14"/>
  <c r="O1664" i="14"/>
  <c r="O1665" i="14"/>
  <c r="O1666" i="14"/>
  <c r="O1667" i="14"/>
  <c r="O1668" i="14"/>
  <c r="O1669" i="14"/>
  <c r="O1670" i="14"/>
  <c r="O1671" i="14"/>
  <c r="O1672" i="14"/>
  <c r="O1673" i="14"/>
  <c r="O1674" i="14"/>
  <c r="O1675" i="14"/>
  <c r="O1676" i="14"/>
  <c r="O1677" i="14"/>
  <c r="O1678" i="14"/>
  <c r="O1679" i="14"/>
  <c r="O1680" i="14"/>
  <c r="O1681" i="14"/>
  <c r="O1682" i="14"/>
  <c r="O1683" i="14"/>
  <c r="O1684" i="14"/>
  <c r="O1685" i="14"/>
  <c r="O1686" i="14"/>
  <c r="O1687" i="14"/>
  <c r="O1688" i="14"/>
  <c r="O1689" i="14"/>
  <c r="O1690" i="14"/>
  <c r="O1691" i="14"/>
  <c r="O1692" i="14"/>
  <c r="O1693" i="14"/>
  <c r="O1694" i="14"/>
  <c r="O1695" i="14"/>
  <c r="O1696" i="14"/>
  <c r="O1697" i="14"/>
  <c r="O1698" i="14"/>
  <c r="O1699" i="14"/>
  <c r="O1700" i="14"/>
  <c r="O1701" i="14"/>
  <c r="O1702" i="14"/>
  <c r="O1703" i="14"/>
  <c r="O1704" i="14"/>
  <c r="O1705" i="14"/>
  <c r="O1706" i="14"/>
  <c r="O1707" i="14"/>
  <c r="O1708" i="14"/>
  <c r="O1709" i="14"/>
  <c r="O1710" i="14"/>
  <c r="O1711" i="14"/>
  <c r="O1712" i="14"/>
  <c r="O1713" i="14"/>
  <c r="O1714" i="14"/>
  <c r="O1715" i="14"/>
  <c r="O1716" i="14"/>
  <c r="O1717" i="14"/>
  <c r="O1718" i="14"/>
  <c r="O1719" i="14"/>
  <c r="O1720" i="14"/>
  <c r="O1721" i="14"/>
  <c r="O1722" i="14"/>
  <c r="O1723" i="14"/>
  <c r="O1724" i="14"/>
  <c r="O1725" i="14"/>
  <c r="O1726" i="14"/>
  <c r="O1727" i="14"/>
  <c r="O1728" i="14"/>
  <c r="O1729" i="14"/>
  <c r="O1730" i="14"/>
  <c r="O1731" i="14"/>
  <c r="O1732" i="14"/>
  <c r="O1733" i="14"/>
  <c r="O1734" i="14"/>
  <c r="O1735" i="14"/>
  <c r="O1736" i="14"/>
  <c r="O1737" i="14"/>
  <c r="O1738" i="14"/>
  <c r="O1739" i="14"/>
  <c r="O1740" i="14"/>
  <c r="O1741" i="14"/>
  <c r="O1742" i="14"/>
  <c r="O1743" i="14"/>
  <c r="O1744" i="14"/>
  <c r="O1745" i="14"/>
  <c r="O1746" i="14"/>
  <c r="O1747" i="14"/>
  <c r="O1748" i="14"/>
  <c r="O1749" i="14"/>
  <c r="O1750" i="14"/>
  <c r="O1751" i="14"/>
  <c r="O1752" i="14"/>
  <c r="O1753" i="14"/>
  <c r="O1754" i="14"/>
  <c r="O1755" i="14"/>
  <c r="O1756" i="14"/>
  <c r="O1757" i="14"/>
  <c r="O1758" i="14"/>
  <c r="O1759" i="14"/>
  <c r="O1760" i="14"/>
  <c r="O1761" i="14"/>
  <c r="O1762" i="14"/>
  <c r="O1763" i="14"/>
  <c r="O1764" i="14"/>
  <c r="O1765" i="14"/>
  <c r="O1766" i="14"/>
  <c r="O1767" i="14"/>
  <c r="O1768" i="14"/>
  <c r="O1769" i="14"/>
  <c r="O1770" i="14"/>
  <c r="O1771" i="14"/>
  <c r="O1772" i="14"/>
  <c r="O1773" i="14"/>
  <c r="O1774" i="14"/>
  <c r="O1775" i="14"/>
  <c r="O1776" i="14"/>
  <c r="O1777" i="14"/>
  <c r="O1778" i="14"/>
  <c r="O1779" i="14"/>
  <c r="O1780" i="14"/>
  <c r="O1781" i="14"/>
  <c r="O1782" i="14"/>
  <c r="O1783" i="14"/>
  <c r="O1784" i="14"/>
  <c r="O1785" i="14"/>
  <c r="O1786" i="14"/>
  <c r="O1787" i="14"/>
  <c r="O1788" i="14"/>
  <c r="O1789" i="14"/>
  <c r="O1790" i="14"/>
  <c r="O1791" i="14"/>
  <c r="O1792" i="14"/>
  <c r="O1793" i="14"/>
  <c r="O1794" i="14"/>
  <c r="O1795" i="14"/>
  <c r="O1796" i="14"/>
  <c r="O1797" i="14"/>
  <c r="O1798" i="14"/>
  <c r="O1799" i="14"/>
  <c r="O1800" i="14"/>
  <c r="O1801" i="14"/>
  <c r="O1802" i="14"/>
  <c r="O1803" i="14"/>
  <c r="O1804" i="14"/>
  <c r="O1805" i="14"/>
  <c r="O1806" i="14"/>
  <c r="O1807" i="14"/>
  <c r="O1808" i="14"/>
  <c r="O1809" i="14"/>
  <c r="O1810" i="14"/>
  <c r="O1811" i="14"/>
  <c r="O1812" i="14"/>
  <c r="O1813" i="14"/>
  <c r="O1814" i="14"/>
  <c r="O1815" i="14"/>
  <c r="O1816" i="14"/>
  <c r="O1817" i="14"/>
  <c r="O1818" i="14"/>
  <c r="O1819" i="14"/>
  <c r="O1820" i="14"/>
  <c r="O1821" i="14"/>
  <c r="O1822" i="14"/>
  <c r="O1823" i="14"/>
  <c r="O1824" i="14"/>
  <c r="O1825" i="14"/>
  <c r="O1826" i="14"/>
  <c r="O1827" i="14"/>
  <c r="O1828" i="14"/>
  <c r="O1829" i="14"/>
  <c r="O1830" i="14"/>
  <c r="O1831" i="14"/>
  <c r="O1832" i="14"/>
  <c r="O1833" i="14"/>
  <c r="O1834" i="14"/>
  <c r="O1835" i="14"/>
  <c r="O1836" i="14"/>
  <c r="O1837" i="14"/>
  <c r="O1838" i="14"/>
  <c r="O1839" i="14"/>
  <c r="O1840" i="14"/>
  <c r="O1841" i="14"/>
  <c r="O1842" i="14"/>
  <c r="O1843" i="14"/>
  <c r="O1844" i="14"/>
  <c r="O1845" i="14"/>
  <c r="O1846" i="14"/>
  <c r="O1847" i="14"/>
  <c r="O1848" i="14"/>
  <c r="O1849" i="14"/>
  <c r="O1850" i="14"/>
  <c r="O1851" i="14"/>
  <c r="O1852" i="14"/>
  <c r="O1853" i="14"/>
  <c r="O1854" i="14"/>
  <c r="O1855" i="14"/>
  <c r="O1856" i="14"/>
  <c r="O1857" i="14"/>
  <c r="O1858" i="14"/>
  <c r="O1859" i="14"/>
  <c r="O1860" i="14"/>
  <c r="O1861" i="14"/>
  <c r="O1862" i="14"/>
  <c r="O1863" i="14"/>
  <c r="O1864" i="14"/>
  <c r="O1865" i="14"/>
  <c r="O1866" i="14"/>
  <c r="O1867" i="14"/>
  <c r="O1868" i="14"/>
  <c r="O1869" i="14"/>
  <c r="O1870" i="14"/>
  <c r="O1871" i="14"/>
  <c r="O1872" i="14"/>
  <c r="O1873" i="14"/>
  <c r="O1874" i="14"/>
  <c r="O1875" i="14"/>
  <c r="O1876" i="14"/>
  <c r="O1877" i="14"/>
  <c r="O1878" i="14"/>
  <c r="O1879" i="14"/>
  <c r="O1880" i="14"/>
  <c r="O1881" i="14"/>
  <c r="O1882" i="14"/>
  <c r="O1883" i="14"/>
  <c r="O1884" i="14"/>
  <c r="O1885" i="14"/>
  <c r="O1886" i="14"/>
  <c r="O1887" i="14"/>
  <c r="O1888" i="14"/>
  <c r="O1889" i="14"/>
  <c r="O1890" i="14"/>
  <c r="O1891" i="14"/>
  <c r="O1892" i="14"/>
  <c r="O1893" i="14"/>
  <c r="O1894" i="14"/>
  <c r="O1895" i="14"/>
  <c r="O1896" i="14"/>
  <c r="O1897" i="14"/>
  <c r="O1898" i="14"/>
  <c r="O1899" i="14"/>
  <c r="O1900" i="14"/>
  <c r="O1901" i="14"/>
  <c r="O1902" i="14"/>
  <c r="O1903" i="14"/>
  <c r="O1904" i="14"/>
  <c r="O1905" i="14"/>
  <c r="O1906" i="14"/>
  <c r="O1907" i="14"/>
  <c r="O1908" i="14"/>
  <c r="O1909" i="14"/>
  <c r="O1910" i="14"/>
  <c r="O1911" i="14"/>
  <c r="O1912" i="14"/>
  <c r="O1913" i="14"/>
  <c r="O1914" i="14"/>
  <c r="O1915" i="14"/>
  <c r="O1916" i="14"/>
  <c r="O1917" i="14"/>
  <c r="O1918" i="14"/>
  <c r="O1919" i="14"/>
  <c r="O1920" i="14"/>
  <c r="O1921" i="14"/>
  <c r="O1922" i="14"/>
  <c r="O1923" i="14"/>
  <c r="O1924" i="14"/>
  <c r="O1925" i="14"/>
  <c r="O1926" i="14"/>
  <c r="O1927" i="14"/>
  <c r="O1928" i="14"/>
  <c r="O1929" i="14"/>
  <c r="O1930" i="14"/>
  <c r="O1931" i="14"/>
  <c r="O1932" i="14"/>
  <c r="O1933" i="14"/>
  <c r="O1934" i="14"/>
  <c r="O1935" i="14"/>
  <c r="O1936" i="14"/>
  <c r="O1937" i="14"/>
  <c r="O1938" i="14"/>
  <c r="O1939" i="14"/>
  <c r="O1940" i="14"/>
  <c r="O1941" i="14"/>
  <c r="O1942" i="14"/>
  <c r="O1943" i="14"/>
  <c r="O1944" i="14"/>
  <c r="O1945" i="14"/>
  <c r="O1946" i="14"/>
  <c r="O1947" i="14"/>
  <c r="O1948" i="14"/>
  <c r="O1949" i="14"/>
  <c r="O1950" i="14"/>
  <c r="O1951" i="14"/>
  <c r="O1952" i="14"/>
  <c r="O1953" i="14"/>
  <c r="O1954" i="14"/>
  <c r="O1955" i="14"/>
  <c r="O1956" i="14"/>
  <c r="O1957" i="14"/>
  <c r="O1958" i="14"/>
  <c r="O1959" i="14"/>
  <c r="O1960" i="14"/>
  <c r="O1961" i="14"/>
  <c r="O1962" i="14"/>
  <c r="O1963" i="14"/>
  <c r="O1964" i="14"/>
  <c r="O1965" i="14"/>
  <c r="O1966" i="14"/>
  <c r="O1967" i="14"/>
  <c r="O1968" i="14"/>
  <c r="O1969" i="14"/>
  <c r="O1970" i="14"/>
  <c r="O1971" i="14"/>
  <c r="O1972" i="14"/>
  <c r="O1973" i="14"/>
  <c r="O1974" i="14"/>
  <c r="O1975" i="14"/>
  <c r="O1976" i="14"/>
  <c r="O1977" i="14"/>
  <c r="O1978" i="14"/>
  <c r="O1979" i="14"/>
  <c r="O1980" i="14"/>
  <c r="O1981" i="14"/>
  <c r="O1982" i="14"/>
  <c r="O1983" i="14"/>
  <c r="O1984" i="14"/>
  <c r="O1985" i="14"/>
  <c r="O1986" i="14"/>
  <c r="O1987" i="14"/>
  <c r="O1988" i="14"/>
  <c r="O1989" i="14"/>
  <c r="O1990" i="14"/>
  <c r="O1991" i="14"/>
  <c r="O1992" i="14"/>
  <c r="O1993" i="14"/>
  <c r="O1994" i="14"/>
  <c r="O1995" i="14"/>
  <c r="O1996" i="14"/>
  <c r="O1997" i="14"/>
  <c r="O1998" i="14"/>
  <c r="O1999" i="14"/>
  <c r="O2000" i="14"/>
  <c r="O2001" i="14"/>
  <c r="O2002" i="14"/>
  <c r="O2003" i="14"/>
  <c r="O2004" i="14"/>
  <c r="O2005" i="14"/>
  <c r="O2006" i="14"/>
  <c r="O2007" i="14"/>
  <c r="O2008" i="14"/>
  <c r="O2009" i="14"/>
  <c r="O2010" i="14"/>
  <c r="O2011" i="14"/>
  <c r="O2012" i="14"/>
  <c r="O2013" i="14"/>
  <c r="O2014" i="14"/>
  <c r="O2015" i="14"/>
  <c r="O2016" i="14"/>
  <c r="O2017" i="14"/>
  <c r="O2018" i="14"/>
  <c r="O2019" i="14"/>
  <c r="O2020" i="14"/>
  <c r="O2021" i="14"/>
  <c r="O2022" i="14"/>
  <c r="O2023" i="14"/>
  <c r="O2024" i="14"/>
  <c r="O2025" i="14"/>
  <c r="O2026" i="14"/>
  <c r="O2027" i="14"/>
  <c r="O2028" i="14"/>
  <c r="O2029" i="14"/>
  <c r="O2030" i="14"/>
  <c r="O2031" i="14"/>
  <c r="O2032" i="14"/>
  <c r="O2033" i="14"/>
  <c r="O2034" i="14"/>
  <c r="O2035" i="14"/>
  <c r="O2036" i="14"/>
  <c r="O2037" i="14"/>
  <c r="O2038" i="14"/>
  <c r="O2039" i="14"/>
  <c r="O2040" i="14"/>
  <c r="O2041" i="14"/>
  <c r="O2042" i="14"/>
  <c r="O2043" i="14"/>
  <c r="O2044" i="14"/>
  <c r="O2045" i="14"/>
  <c r="O2046" i="14"/>
  <c r="O2047" i="14"/>
  <c r="O2048" i="14"/>
  <c r="O2049" i="14"/>
  <c r="O2050" i="14"/>
  <c r="O2051" i="14"/>
  <c r="O2052" i="14"/>
  <c r="O2053" i="14"/>
  <c r="O2054" i="14"/>
  <c r="O2055" i="14"/>
  <c r="O2056" i="14"/>
  <c r="O2057" i="14"/>
  <c r="O2058" i="14"/>
  <c r="O2059" i="14"/>
  <c r="O2060" i="14"/>
  <c r="O2061" i="14"/>
  <c r="O2062" i="14"/>
  <c r="O2063" i="14"/>
  <c r="O2064" i="14"/>
  <c r="O2065" i="14"/>
  <c r="O2066" i="14"/>
  <c r="O2067" i="14"/>
  <c r="O2068" i="14"/>
  <c r="O2069" i="14"/>
  <c r="O2070" i="14"/>
  <c r="O2071" i="14"/>
  <c r="O2072" i="14"/>
  <c r="O2073" i="14"/>
  <c r="O2074" i="14"/>
  <c r="O2075" i="14"/>
  <c r="O2076" i="14"/>
  <c r="O2077" i="14"/>
  <c r="O2078" i="14"/>
  <c r="O2079" i="14"/>
  <c r="O2080" i="14"/>
  <c r="O2081" i="14"/>
  <c r="O2082" i="14"/>
  <c r="O2083" i="14"/>
  <c r="O2084" i="14"/>
  <c r="O2085" i="14"/>
  <c r="O2086" i="14"/>
  <c r="O2087" i="14"/>
  <c r="O2088" i="14"/>
  <c r="O2089" i="14"/>
  <c r="O2090" i="14"/>
  <c r="O2091" i="14"/>
  <c r="O2092" i="14"/>
  <c r="O2093" i="14"/>
  <c r="O2094" i="14"/>
  <c r="O2095" i="14"/>
  <c r="O2096" i="14"/>
  <c r="O2097" i="14"/>
  <c r="O2098" i="14"/>
  <c r="O2099" i="14"/>
  <c r="O2100" i="14"/>
  <c r="O2101" i="14"/>
  <c r="O2102" i="14"/>
  <c r="O2103" i="14"/>
  <c r="O2104" i="14"/>
  <c r="O2105" i="14"/>
  <c r="O2106" i="14"/>
  <c r="O2107" i="14"/>
  <c r="O2108" i="14"/>
  <c r="O2109" i="14"/>
  <c r="O2110" i="14"/>
  <c r="O2111" i="14"/>
  <c r="O2112" i="14"/>
  <c r="O2113" i="14"/>
  <c r="O2114" i="14"/>
  <c r="O2115" i="14"/>
  <c r="O2116" i="14"/>
  <c r="O2117" i="14"/>
  <c r="O2118" i="14"/>
  <c r="O2119" i="14"/>
  <c r="O2120" i="14"/>
  <c r="O2121" i="14"/>
  <c r="O2122" i="14"/>
  <c r="O2123" i="14"/>
  <c r="O2124" i="14"/>
  <c r="O2125" i="14"/>
  <c r="O2126" i="14"/>
  <c r="O2127" i="14"/>
  <c r="O2128" i="14"/>
  <c r="O2129" i="14"/>
  <c r="O2130" i="14"/>
  <c r="O2131" i="14"/>
  <c r="O2132" i="14"/>
  <c r="O2133" i="14"/>
  <c r="O2134" i="14"/>
  <c r="O2135" i="14"/>
  <c r="O2136" i="14"/>
  <c r="O2137" i="14"/>
  <c r="O2138" i="14"/>
  <c r="O2139" i="14"/>
  <c r="O2140" i="14"/>
  <c r="O2141" i="14"/>
  <c r="O2142" i="14"/>
  <c r="O2143" i="14"/>
  <c r="O2144" i="14"/>
  <c r="O2145" i="14"/>
  <c r="O2146" i="14"/>
  <c r="O2147" i="14"/>
  <c r="O2148" i="14"/>
  <c r="O2149" i="14"/>
  <c r="O2150" i="14"/>
  <c r="O2151" i="14"/>
  <c r="O2152" i="14"/>
  <c r="O2153" i="14"/>
  <c r="O2154" i="14"/>
  <c r="O2155" i="14"/>
  <c r="O2156" i="14"/>
  <c r="O2157" i="14"/>
  <c r="O2158" i="14"/>
  <c r="O2159" i="14"/>
  <c r="O2160" i="14"/>
  <c r="O2161" i="14"/>
  <c r="O2162" i="14"/>
  <c r="O2163" i="14"/>
  <c r="O2164" i="14"/>
  <c r="O2165" i="14"/>
  <c r="O2166" i="14"/>
  <c r="O2167" i="14"/>
  <c r="O2168" i="14"/>
  <c r="O2169" i="14"/>
  <c r="O2170" i="14"/>
  <c r="O2171" i="14"/>
  <c r="O2172" i="14"/>
  <c r="O2173" i="14"/>
  <c r="O2174" i="14"/>
  <c r="O2175" i="14"/>
  <c r="O2176" i="14"/>
  <c r="O2177" i="14"/>
  <c r="O2178" i="14"/>
  <c r="O2179" i="14"/>
  <c r="O2180" i="14"/>
  <c r="O2181" i="14"/>
  <c r="O2182" i="14"/>
  <c r="O2183" i="14"/>
  <c r="O2184" i="14"/>
  <c r="O2185" i="14"/>
  <c r="O2186" i="14"/>
  <c r="O2187" i="14"/>
  <c r="O2188" i="14"/>
  <c r="O2189" i="14"/>
  <c r="O2190" i="14"/>
  <c r="O2191" i="14"/>
  <c r="O2192" i="14"/>
  <c r="O2193" i="14"/>
  <c r="O2194" i="14"/>
  <c r="O2195" i="14"/>
  <c r="O2196" i="14"/>
  <c r="O2197" i="14"/>
  <c r="O2198" i="14"/>
  <c r="O2199" i="14"/>
  <c r="O2200" i="14"/>
  <c r="O2201" i="14"/>
  <c r="O2202" i="14"/>
  <c r="O2203" i="14"/>
  <c r="O2204" i="14"/>
  <c r="O2205" i="14"/>
  <c r="O2206" i="14"/>
  <c r="O2207" i="14"/>
  <c r="O2208" i="14"/>
  <c r="O2209" i="14"/>
  <c r="O2210" i="14"/>
  <c r="O2211" i="14"/>
  <c r="O2212" i="14"/>
  <c r="O2213" i="14"/>
  <c r="O2214" i="14"/>
  <c r="O2215" i="14"/>
  <c r="O2216" i="14"/>
  <c r="O2217" i="14"/>
  <c r="O2218" i="14"/>
  <c r="O2219" i="14"/>
  <c r="O2220" i="14"/>
  <c r="O2221" i="14"/>
  <c r="O2222" i="14"/>
  <c r="O2223" i="14"/>
  <c r="O2224" i="14"/>
  <c r="O2225" i="14"/>
  <c r="O2226" i="14"/>
  <c r="O2227" i="14"/>
  <c r="O2228" i="14"/>
  <c r="O2229" i="14"/>
  <c r="O2230" i="14"/>
  <c r="O2231" i="14"/>
  <c r="O2232" i="14"/>
  <c r="O2233" i="14"/>
  <c r="O2234" i="14"/>
  <c r="O2235" i="14"/>
  <c r="O2236" i="14"/>
  <c r="O2237" i="14"/>
  <c r="O2238" i="14"/>
  <c r="O2239" i="14"/>
  <c r="O2240" i="14"/>
  <c r="O2241" i="14"/>
  <c r="O2242" i="14"/>
  <c r="O2243" i="14"/>
  <c r="O2244" i="14"/>
  <c r="O2245" i="14"/>
  <c r="O2246" i="14"/>
  <c r="O2247" i="14"/>
  <c r="O2248" i="14"/>
  <c r="O2249" i="14"/>
  <c r="O2250" i="14"/>
  <c r="O2251" i="14"/>
  <c r="O2252" i="14"/>
  <c r="O2253" i="14"/>
  <c r="O2254" i="14"/>
  <c r="O2255" i="14"/>
  <c r="O2256" i="14"/>
  <c r="O2257" i="14"/>
  <c r="O2258" i="14"/>
  <c r="O2259" i="14"/>
  <c r="O2260" i="14"/>
  <c r="O2261" i="14"/>
  <c r="O2262" i="14"/>
  <c r="O2263" i="14"/>
  <c r="O2264" i="14"/>
  <c r="O2265" i="14"/>
  <c r="O2266" i="14"/>
  <c r="O2267" i="14"/>
  <c r="O2268" i="14"/>
  <c r="O2269" i="14"/>
  <c r="O2270" i="14"/>
  <c r="O2271" i="14"/>
  <c r="O2272" i="14"/>
  <c r="O2273" i="14"/>
  <c r="O2274" i="14"/>
  <c r="O2275" i="14"/>
  <c r="O2276" i="14"/>
  <c r="O2277" i="14"/>
  <c r="O2278" i="14"/>
  <c r="O2279" i="14"/>
  <c r="O2280" i="14"/>
  <c r="O2281" i="14"/>
  <c r="O2282" i="14"/>
  <c r="O2283" i="14"/>
  <c r="O2284" i="14"/>
  <c r="O2285" i="14"/>
  <c r="O2286" i="14"/>
  <c r="O2287" i="14"/>
  <c r="O2288" i="14"/>
  <c r="O2289" i="14"/>
  <c r="O2290" i="14"/>
  <c r="O2291" i="14"/>
  <c r="O2292" i="14"/>
  <c r="O2293" i="14"/>
  <c r="O2294" i="14"/>
  <c r="O2295" i="14"/>
  <c r="O2296" i="14"/>
  <c r="O2297" i="14"/>
  <c r="O2298" i="14"/>
  <c r="O2299" i="14"/>
  <c r="O2300" i="14"/>
  <c r="O2301" i="14"/>
  <c r="O2302" i="14"/>
  <c r="O2303" i="14"/>
  <c r="O2304" i="14"/>
  <c r="O2305" i="14"/>
  <c r="O2306" i="14"/>
  <c r="O2307" i="14"/>
  <c r="O2308" i="14"/>
  <c r="O2309" i="14"/>
  <c r="O2310" i="14"/>
  <c r="O2311" i="14"/>
  <c r="O2312" i="14"/>
  <c r="O2313" i="14"/>
  <c r="O2314" i="14"/>
  <c r="O2315" i="14"/>
  <c r="O2316" i="14"/>
  <c r="O2317" i="14"/>
  <c r="O2318" i="14"/>
  <c r="O2319" i="14"/>
  <c r="O2320" i="14"/>
  <c r="O2321" i="14"/>
  <c r="O2322" i="14"/>
  <c r="O2323" i="14"/>
  <c r="O2324" i="14"/>
  <c r="O2325" i="14"/>
  <c r="O2326" i="14"/>
  <c r="O2327" i="14"/>
  <c r="O2328" i="14"/>
  <c r="O2329" i="14"/>
  <c r="O2330" i="14"/>
  <c r="O2331" i="14"/>
  <c r="O2332" i="14"/>
  <c r="O2333" i="14"/>
  <c r="O2334" i="14"/>
  <c r="O2335" i="14"/>
  <c r="O2336" i="14"/>
  <c r="O2337" i="14"/>
  <c r="O2338" i="14"/>
  <c r="O2339" i="14"/>
  <c r="O2340" i="14"/>
  <c r="O2341" i="14"/>
  <c r="O2342" i="14"/>
  <c r="O2343" i="14"/>
  <c r="O2344" i="14"/>
  <c r="O2345" i="14"/>
  <c r="O2346" i="14"/>
  <c r="O2347" i="14"/>
  <c r="O2348" i="14"/>
  <c r="O2349" i="14"/>
  <c r="O2350" i="14"/>
  <c r="O2351" i="14"/>
  <c r="O2352" i="14"/>
  <c r="O2353" i="14"/>
  <c r="O2354" i="14"/>
  <c r="O2355" i="14"/>
  <c r="O2356" i="14"/>
  <c r="O2357" i="14"/>
  <c r="O2358" i="14"/>
  <c r="O2359" i="14"/>
  <c r="O2360" i="14"/>
  <c r="O2361" i="14"/>
  <c r="O2362" i="14"/>
  <c r="O2363" i="14"/>
  <c r="O2364" i="14"/>
  <c r="O2365" i="14"/>
  <c r="O2366" i="14"/>
  <c r="O2367" i="14"/>
  <c r="O2368" i="14"/>
  <c r="O2369" i="14"/>
  <c r="O2370" i="14"/>
  <c r="O2371" i="14"/>
  <c r="O2372" i="14"/>
  <c r="O2373" i="14"/>
  <c r="O2374" i="14"/>
  <c r="O2375" i="14"/>
  <c r="O2376" i="14"/>
  <c r="O2377" i="14"/>
  <c r="O2378" i="14"/>
  <c r="O2379" i="14"/>
  <c r="O2380" i="14"/>
  <c r="O2381" i="14"/>
  <c r="O2382" i="14"/>
  <c r="O2383" i="14"/>
  <c r="O2384" i="14"/>
  <c r="O2385" i="14"/>
  <c r="O2386" i="14"/>
  <c r="O2387" i="14"/>
  <c r="O2388" i="14"/>
  <c r="O2389" i="14"/>
  <c r="O2390" i="14"/>
  <c r="O2391" i="14"/>
  <c r="O2392" i="14"/>
  <c r="O2393" i="14"/>
  <c r="O2394" i="14"/>
  <c r="O2395" i="14"/>
  <c r="O2396" i="14"/>
  <c r="O2397" i="14"/>
  <c r="O2398" i="14"/>
  <c r="O2399" i="14"/>
  <c r="O2400" i="14"/>
  <c r="O2401" i="14"/>
  <c r="O2402" i="14"/>
  <c r="O2403" i="14"/>
  <c r="O2404" i="14"/>
  <c r="O2405" i="14"/>
  <c r="O2406" i="14"/>
  <c r="O2407" i="14"/>
  <c r="O2408" i="14"/>
  <c r="O2409" i="14"/>
  <c r="O2410" i="14"/>
  <c r="O2411" i="14"/>
  <c r="O2412" i="14"/>
  <c r="O2413" i="14"/>
  <c r="O2414" i="14"/>
  <c r="O2415" i="14"/>
  <c r="O2416" i="14"/>
  <c r="O2417" i="14"/>
  <c r="O2418" i="14"/>
  <c r="O2419" i="14"/>
  <c r="O2420" i="14"/>
  <c r="O2421" i="14"/>
  <c r="O2422" i="14"/>
  <c r="O2423" i="14"/>
  <c r="O2424" i="14"/>
  <c r="O2425" i="14"/>
  <c r="O2426" i="14"/>
  <c r="O2427" i="14"/>
  <c r="O2428" i="14"/>
  <c r="O2429" i="14"/>
  <c r="O2430" i="14"/>
  <c r="O2431" i="14"/>
  <c r="O2432" i="14"/>
  <c r="O2433" i="14"/>
  <c r="O2434" i="14"/>
  <c r="O2435" i="14"/>
  <c r="O2436" i="14"/>
  <c r="O2437" i="14"/>
  <c r="O2438" i="14"/>
  <c r="O2439" i="14"/>
  <c r="O2440" i="14"/>
  <c r="O2441" i="14"/>
  <c r="O2442" i="14"/>
  <c r="O2443" i="14"/>
  <c r="O2444" i="14"/>
  <c r="O2445" i="14"/>
  <c r="O2446" i="14"/>
  <c r="O2447" i="14"/>
  <c r="O2448" i="14"/>
  <c r="O2449" i="14"/>
  <c r="O2450" i="14"/>
  <c r="O2451" i="14"/>
  <c r="O2452" i="14"/>
  <c r="O2453" i="14"/>
  <c r="O2454" i="14"/>
  <c r="O2455" i="14"/>
  <c r="O2456" i="14"/>
  <c r="O2457" i="14"/>
  <c r="O2458" i="14"/>
  <c r="O2459" i="14"/>
  <c r="O2460" i="14"/>
  <c r="O2461" i="14"/>
  <c r="O2462" i="14"/>
  <c r="O2463" i="14"/>
  <c r="O2464" i="14"/>
  <c r="O2465" i="14"/>
  <c r="O2466" i="14"/>
  <c r="O2467" i="14"/>
  <c r="O2468" i="14"/>
  <c r="O2469" i="14"/>
  <c r="O2470" i="14"/>
  <c r="O2471" i="14"/>
  <c r="O2472" i="14"/>
  <c r="O2473" i="14"/>
  <c r="O2474" i="14"/>
  <c r="O2475" i="14"/>
  <c r="O2476" i="14"/>
  <c r="O2477" i="14"/>
  <c r="O2478" i="14"/>
  <c r="O2479" i="14"/>
  <c r="O2480" i="14"/>
  <c r="O2481" i="14"/>
  <c r="O2482" i="14"/>
  <c r="O2483" i="14"/>
  <c r="O2484" i="14"/>
  <c r="O2485" i="14"/>
  <c r="O2486" i="14"/>
  <c r="O2487" i="14"/>
  <c r="O2488" i="14"/>
  <c r="O2489" i="14"/>
  <c r="O2490" i="14"/>
  <c r="O2491" i="14"/>
  <c r="O2492" i="14"/>
  <c r="O2493" i="14"/>
  <c r="O2494" i="14"/>
  <c r="O2495" i="14"/>
  <c r="O2496" i="14"/>
  <c r="O2497" i="14"/>
  <c r="O2498" i="14"/>
  <c r="O2499" i="14"/>
  <c r="O2500" i="14"/>
  <c r="O2501" i="14"/>
  <c r="O2502" i="14"/>
  <c r="O2503" i="14"/>
  <c r="O2504" i="14"/>
  <c r="O2505" i="14"/>
  <c r="O2506" i="14"/>
  <c r="O2507" i="14"/>
  <c r="O2508" i="14"/>
  <c r="O2509" i="14"/>
  <c r="O2510" i="14"/>
  <c r="O2511" i="14"/>
  <c r="O2512" i="14"/>
  <c r="O2513" i="14"/>
  <c r="O2514" i="14"/>
  <c r="O2515" i="14"/>
  <c r="O2516" i="14"/>
  <c r="O2517" i="14"/>
  <c r="O2518" i="14"/>
  <c r="O2519" i="14"/>
  <c r="O2520" i="14"/>
  <c r="O2521" i="14"/>
  <c r="O2522" i="14"/>
  <c r="O2523" i="14"/>
  <c r="O2524" i="14"/>
  <c r="O2525" i="14"/>
  <c r="O2526" i="14"/>
  <c r="O2527" i="14"/>
  <c r="O2528" i="14"/>
  <c r="O2529" i="14"/>
  <c r="O2530" i="14"/>
  <c r="O2531" i="14"/>
  <c r="O2532" i="14"/>
  <c r="O2533" i="14"/>
  <c r="O2534" i="14"/>
  <c r="O2535" i="14"/>
  <c r="O2536" i="14"/>
  <c r="O2537" i="14"/>
  <c r="O2538" i="14"/>
  <c r="O2539" i="14"/>
  <c r="O2540" i="14"/>
  <c r="O2541" i="14"/>
  <c r="O2542" i="14"/>
  <c r="O2543" i="14"/>
  <c r="O2544" i="14"/>
  <c r="O2545" i="14"/>
  <c r="O2546" i="14"/>
  <c r="O2547" i="14"/>
  <c r="O2548" i="14"/>
  <c r="O2549" i="14"/>
  <c r="O2550" i="14"/>
  <c r="O2551" i="14"/>
  <c r="O2552" i="14"/>
  <c r="O2553" i="14"/>
  <c r="O2554" i="14"/>
  <c r="O2555" i="14"/>
  <c r="O2556" i="14"/>
  <c r="O2557" i="14"/>
  <c r="O2558" i="14"/>
  <c r="O2559" i="14"/>
  <c r="O2560" i="14"/>
  <c r="O2561" i="14"/>
  <c r="O2562" i="14"/>
  <c r="O2563" i="14"/>
  <c r="O2564" i="14"/>
  <c r="O2565" i="14"/>
  <c r="O2566" i="14"/>
  <c r="O2567" i="14"/>
  <c r="O2568" i="14"/>
  <c r="O2569" i="14"/>
  <c r="O2570" i="14"/>
  <c r="O2571" i="14"/>
  <c r="O2572" i="14"/>
  <c r="O2573" i="14"/>
  <c r="O2574" i="14"/>
  <c r="O2575" i="14"/>
  <c r="O2576" i="14"/>
  <c r="O2577" i="14"/>
  <c r="O2578" i="14"/>
  <c r="O2579" i="14"/>
  <c r="O2580" i="14"/>
  <c r="O2581" i="14"/>
  <c r="O2582" i="14"/>
  <c r="O2583" i="14"/>
  <c r="O2584" i="14"/>
  <c r="O2585" i="14"/>
  <c r="O2586" i="14"/>
  <c r="O2587" i="14"/>
  <c r="O2588" i="14"/>
  <c r="O2589" i="14"/>
  <c r="O2590" i="14"/>
  <c r="O2591" i="14"/>
  <c r="O2592" i="14"/>
  <c r="O2593" i="14"/>
  <c r="O2594" i="14"/>
  <c r="O2595" i="14"/>
  <c r="O2596" i="14"/>
  <c r="O2597" i="14"/>
  <c r="O2598" i="14"/>
  <c r="O2599" i="14"/>
  <c r="O2600" i="14"/>
  <c r="O2601" i="14"/>
  <c r="O2602" i="14"/>
  <c r="O2603" i="14"/>
  <c r="O2604" i="14"/>
  <c r="O2605" i="14"/>
  <c r="O2606" i="14"/>
  <c r="O2607" i="14"/>
  <c r="O2608" i="14"/>
  <c r="O2609" i="14"/>
  <c r="O2610" i="14"/>
  <c r="O2611" i="14"/>
  <c r="O2612" i="14"/>
  <c r="O2613" i="14"/>
  <c r="O2614" i="14"/>
  <c r="O2615" i="14"/>
  <c r="O2616" i="14"/>
  <c r="O2617" i="14"/>
  <c r="O2618" i="14"/>
  <c r="O2619" i="14"/>
  <c r="O2620" i="14"/>
  <c r="O2621" i="14"/>
  <c r="O2622" i="14"/>
  <c r="O2623" i="14"/>
  <c r="O2624" i="14"/>
  <c r="O2625" i="14"/>
  <c r="O2626" i="14"/>
  <c r="O2627" i="14"/>
  <c r="O2628" i="14"/>
  <c r="O2629" i="14"/>
  <c r="O2630" i="14"/>
  <c r="O2631" i="14"/>
  <c r="O2632" i="14"/>
  <c r="O2633" i="14"/>
  <c r="O2634" i="14"/>
  <c r="O2635" i="14"/>
  <c r="O2636" i="14"/>
  <c r="O2637" i="14"/>
  <c r="O2638" i="14"/>
  <c r="O2639" i="14"/>
  <c r="O2640" i="14"/>
  <c r="O2641" i="14"/>
  <c r="O2642" i="14"/>
  <c r="O2643" i="14"/>
  <c r="O2644" i="14"/>
  <c r="O2645" i="14"/>
  <c r="O2646" i="14"/>
  <c r="O2647" i="14"/>
  <c r="O2648" i="14"/>
  <c r="O2649" i="14"/>
  <c r="O2650" i="14"/>
  <c r="O2651" i="14"/>
  <c r="O2652" i="14"/>
  <c r="O2653" i="14"/>
  <c r="O2654" i="14"/>
  <c r="O2655" i="14"/>
  <c r="O2656" i="14"/>
  <c r="O2657" i="14"/>
  <c r="O2658" i="14"/>
  <c r="O2659" i="14"/>
  <c r="O2660" i="14"/>
  <c r="O2661" i="14"/>
  <c r="O2662" i="14"/>
  <c r="O2663" i="14"/>
  <c r="O2664" i="14"/>
  <c r="O2665" i="14"/>
  <c r="O2666" i="14"/>
  <c r="O2667" i="14"/>
  <c r="O2668" i="14"/>
  <c r="O2669" i="14"/>
  <c r="O2670" i="14"/>
  <c r="O2671" i="14"/>
  <c r="O2672" i="14"/>
  <c r="O2673" i="14"/>
  <c r="O2674" i="14"/>
  <c r="O2675" i="14"/>
  <c r="O2676" i="14"/>
  <c r="O2677" i="14"/>
  <c r="O2678" i="14"/>
  <c r="O2679" i="14"/>
  <c r="O2680" i="14"/>
  <c r="O2681" i="14"/>
  <c r="O2682" i="14"/>
  <c r="O2683" i="14"/>
  <c r="O2684" i="14"/>
  <c r="O2685" i="14"/>
  <c r="O2686" i="14"/>
  <c r="O2687" i="14"/>
  <c r="O2688" i="14"/>
  <c r="O2689" i="14"/>
  <c r="O2690" i="14"/>
  <c r="O2691" i="14"/>
  <c r="O2692" i="14"/>
  <c r="O2693" i="14"/>
  <c r="O2694" i="14"/>
  <c r="O2695" i="14"/>
  <c r="O2696" i="14"/>
  <c r="O2697" i="14"/>
  <c r="O2698" i="14"/>
  <c r="O2699" i="14"/>
  <c r="O2700" i="14"/>
  <c r="O2701" i="14"/>
  <c r="O2702" i="14"/>
  <c r="O2703" i="14"/>
  <c r="O2704" i="14"/>
  <c r="O2705" i="14"/>
  <c r="O2706" i="14"/>
  <c r="O2707" i="14"/>
  <c r="O2708" i="14"/>
  <c r="O2709" i="14"/>
  <c r="O2710" i="14"/>
  <c r="O2711" i="14"/>
  <c r="O2712" i="14"/>
  <c r="O2713" i="14"/>
  <c r="O2714" i="14"/>
  <c r="O2715" i="14"/>
  <c r="O2716" i="14"/>
  <c r="O2717" i="14"/>
  <c r="O2718" i="14"/>
  <c r="O2719" i="14"/>
  <c r="O2720" i="14"/>
  <c r="O2721" i="14"/>
  <c r="O2722" i="14"/>
  <c r="O2723" i="14"/>
  <c r="O2724" i="14"/>
  <c r="O2725" i="14"/>
  <c r="O2726" i="14"/>
  <c r="O2727" i="14"/>
  <c r="O2728" i="14"/>
  <c r="O2729" i="14"/>
  <c r="O2730" i="14"/>
  <c r="O2731" i="14"/>
  <c r="O2732" i="14"/>
  <c r="O2733" i="14"/>
  <c r="O2734" i="14"/>
  <c r="O2735" i="14"/>
  <c r="O2736" i="14"/>
  <c r="O2737" i="14"/>
  <c r="O2738" i="14"/>
  <c r="O2739" i="14"/>
  <c r="O2740" i="14"/>
  <c r="O2741" i="14"/>
  <c r="O2742" i="14"/>
  <c r="O2743" i="14"/>
  <c r="O2744" i="14"/>
  <c r="O2745" i="14"/>
  <c r="O2746" i="14"/>
  <c r="O2747" i="14"/>
  <c r="O2748" i="14"/>
  <c r="O2749" i="14"/>
  <c r="O2750" i="14"/>
  <c r="O2751" i="14"/>
  <c r="O2752" i="14"/>
  <c r="O2753" i="14"/>
  <c r="O2754" i="14"/>
  <c r="O2755" i="14"/>
  <c r="O2756" i="14"/>
  <c r="O2757" i="14"/>
  <c r="O2758" i="14"/>
  <c r="O2759" i="14"/>
  <c r="O2760" i="14"/>
  <c r="O2761" i="14"/>
  <c r="O2762" i="14"/>
  <c r="O2763" i="14"/>
  <c r="O2764" i="14"/>
  <c r="O2765" i="14"/>
  <c r="O2766" i="14"/>
  <c r="O2767" i="14"/>
  <c r="O2768" i="14"/>
  <c r="O2769" i="14"/>
  <c r="O2770" i="14"/>
  <c r="O2771" i="14"/>
  <c r="O2772" i="14"/>
  <c r="O2773" i="14"/>
  <c r="O2774" i="14"/>
  <c r="O2775" i="14"/>
  <c r="O2776" i="14"/>
  <c r="O2777" i="14"/>
  <c r="O2778" i="14"/>
  <c r="O2779" i="14"/>
  <c r="O2780" i="14"/>
  <c r="O2781" i="14"/>
  <c r="O2782" i="14"/>
  <c r="O2783" i="14"/>
  <c r="O2784" i="14"/>
  <c r="O2785" i="14"/>
  <c r="O2786" i="14"/>
  <c r="O2787" i="14"/>
  <c r="O2788" i="14"/>
  <c r="O2789" i="14"/>
  <c r="O2790" i="14"/>
  <c r="O2791" i="14"/>
  <c r="O2792" i="14"/>
  <c r="O2793" i="14"/>
  <c r="O2794" i="14"/>
  <c r="O2795" i="14"/>
  <c r="O2796" i="14"/>
  <c r="O2797" i="14"/>
  <c r="O2798" i="14"/>
  <c r="O2799" i="14"/>
  <c r="O2800" i="14"/>
  <c r="O2801" i="14"/>
  <c r="O2802" i="14"/>
  <c r="O2803" i="14"/>
  <c r="O2804" i="14"/>
  <c r="O2805" i="14"/>
  <c r="O2806" i="14"/>
  <c r="O2807" i="14"/>
  <c r="O2808" i="14"/>
  <c r="O2809" i="14"/>
  <c r="O2810" i="14"/>
  <c r="O2811" i="14"/>
  <c r="O2812" i="14"/>
  <c r="O2813" i="14"/>
  <c r="O2814" i="14"/>
  <c r="O2815" i="14"/>
  <c r="O2816" i="14"/>
  <c r="O2817" i="14"/>
  <c r="O2818" i="14"/>
  <c r="O2819" i="14"/>
  <c r="O2820" i="14"/>
  <c r="O2821" i="14"/>
  <c r="O2822" i="14"/>
  <c r="O2823" i="14"/>
  <c r="O2824" i="14"/>
  <c r="O2825" i="14"/>
  <c r="O2826" i="14"/>
  <c r="O2827" i="14"/>
  <c r="O2828" i="14"/>
  <c r="O2829" i="14"/>
  <c r="O2830" i="14"/>
  <c r="O2831" i="14"/>
  <c r="O2832" i="14"/>
  <c r="O2833" i="14"/>
  <c r="O2834" i="14"/>
  <c r="O2835" i="14"/>
  <c r="O2836" i="14"/>
  <c r="O2837" i="14"/>
  <c r="O2838" i="14"/>
  <c r="O2839" i="14"/>
  <c r="O2840" i="14"/>
  <c r="O2841" i="14"/>
  <c r="O2842" i="14"/>
  <c r="O2843" i="14"/>
  <c r="O2844" i="14"/>
  <c r="O2845" i="14"/>
  <c r="O2846" i="14"/>
  <c r="O2847" i="14"/>
  <c r="O2848" i="14"/>
  <c r="O2849" i="14"/>
  <c r="O2850" i="14"/>
  <c r="O2851" i="14"/>
  <c r="O2852" i="14"/>
  <c r="O2853" i="14"/>
  <c r="O2854" i="14"/>
  <c r="O2855" i="14"/>
  <c r="O2856" i="14"/>
  <c r="O2857" i="14"/>
  <c r="O2858" i="14"/>
  <c r="O2859" i="14"/>
  <c r="O2860" i="14"/>
  <c r="O2861" i="14"/>
  <c r="O2862" i="14"/>
  <c r="O2863" i="14"/>
  <c r="O2864" i="14"/>
  <c r="O2865" i="14"/>
  <c r="O2866" i="14"/>
  <c r="O2867" i="14"/>
  <c r="O2868" i="14"/>
  <c r="O2869" i="14"/>
  <c r="O2870" i="14"/>
  <c r="O2871" i="14"/>
  <c r="O2872" i="14"/>
  <c r="O2873" i="14"/>
  <c r="O2874" i="14"/>
  <c r="O2875" i="14"/>
  <c r="O2876" i="14"/>
  <c r="O2877" i="14"/>
  <c r="O2878" i="14"/>
  <c r="O2879" i="14"/>
  <c r="O2880" i="14"/>
  <c r="O2881" i="14"/>
  <c r="O2882" i="14"/>
  <c r="O2883" i="14"/>
  <c r="O2884" i="14"/>
  <c r="O2885" i="14"/>
  <c r="O2886" i="14"/>
  <c r="O2887" i="14"/>
  <c r="O2888" i="14"/>
  <c r="O2889" i="14"/>
  <c r="O2890" i="14"/>
  <c r="O2891" i="14"/>
  <c r="O2892" i="14"/>
  <c r="O2893" i="14"/>
  <c r="O2894" i="14"/>
  <c r="O2895" i="14"/>
  <c r="O2896" i="14"/>
  <c r="O2897" i="14"/>
  <c r="O2898" i="14"/>
  <c r="O2899" i="14"/>
  <c r="O2900" i="14"/>
  <c r="O2901" i="14"/>
  <c r="O2902" i="14"/>
  <c r="O2903" i="14"/>
  <c r="O2904" i="14"/>
  <c r="O2905" i="14"/>
  <c r="O2906" i="14"/>
  <c r="O2907" i="14"/>
  <c r="O2908" i="14"/>
  <c r="O2909" i="14"/>
  <c r="O2910" i="14"/>
  <c r="O2911" i="14"/>
  <c r="O2912" i="14"/>
  <c r="O2913" i="14"/>
  <c r="O2914" i="14"/>
  <c r="O2915" i="14"/>
  <c r="O2916" i="14"/>
  <c r="O2917" i="14"/>
  <c r="O2918" i="14"/>
  <c r="O2919" i="14"/>
  <c r="O2920" i="14"/>
  <c r="O2921" i="14"/>
  <c r="O2922" i="14"/>
  <c r="O2923" i="14"/>
  <c r="O2924" i="14"/>
  <c r="O2925" i="14"/>
  <c r="O2926" i="14"/>
  <c r="O2927" i="14"/>
  <c r="O2928" i="14"/>
  <c r="O2929" i="14"/>
  <c r="O2930" i="14"/>
  <c r="O2931" i="14"/>
  <c r="O2932" i="14"/>
  <c r="O2933" i="14"/>
  <c r="O2934" i="14"/>
  <c r="O2935" i="14"/>
  <c r="O2936" i="14"/>
  <c r="O2937" i="14"/>
  <c r="O2938" i="14"/>
  <c r="O2939" i="14"/>
  <c r="O2940" i="14"/>
  <c r="O2941" i="14"/>
  <c r="O2942" i="14"/>
  <c r="O2943" i="14"/>
  <c r="O2944" i="14"/>
  <c r="O2945" i="14"/>
  <c r="O2946" i="14"/>
  <c r="O2947" i="14"/>
  <c r="O2948" i="14"/>
  <c r="O2949" i="14"/>
  <c r="O2950" i="14"/>
  <c r="O2951" i="14"/>
  <c r="O2952" i="14"/>
  <c r="O2953" i="14"/>
  <c r="O2954" i="14"/>
  <c r="O2955" i="14"/>
  <c r="O2956" i="14"/>
  <c r="O2957" i="14"/>
  <c r="O2958" i="14"/>
  <c r="O2959" i="14"/>
  <c r="O2960" i="14"/>
  <c r="O2961" i="14"/>
  <c r="O2962" i="14"/>
  <c r="O2963" i="14"/>
  <c r="O2964" i="14"/>
  <c r="O2965" i="14"/>
  <c r="O2966" i="14"/>
  <c r="O2967" i="14"/>
  <c r="O2968" i="14"/>
  <c r="O2969" i="14"/>
  <c r="O2970" i="14"/>
  <c r="O2971" i="14"/>
  <c r="O2972" i="14"/>
  <c r="O2973" i="14"/>
  <c r="O2974" i="14"/>
  <c r="O2975" i="14"/>
  <c r="O2976" i="14"/>
  <c r="O2977" i="14"/>
  <c r="O2978" i="14"/>
  <c r="O2979" i="14"/>
  <c r="O2980" i="14"/>
  <c r="O2981" i="14"/>
  <c r="O2982" i="14"/>
  <c r="O2983" i="14"/>
  <c r="O2984" i="14"/>
  <c r="O2985" i="14"/>
  <c r="O2986" i="14"/>
  <c r="O2987" i="14"/>
  <c r="O2988" i="14"/>
  <c r="O2989" i="14"/>
  <c r="O2990" i="14"/>
  <c r="O2991" i="14"/>
  <c r="O2992" i="14"/>
  <c r="O2993" i="14"/>
  <c r="O2994" i="14"/>
  <c r="O2995" i="14"/>
  <c r="O2996" i="14"/>
  <c r="O2997" i="14"/>
  <c r="O2998" i="14"/>
  <c r="O2999" i="14"/>
  <c r="O3000" i="14"/>
  <c r="O3001" i="14"/>
  <c r="O3002" i="14"/>
  <c r="O3003" i="14"/>
  <c r="O3004" i="14"/>
  <c r="O3005" i="14"/>
  <c r="O3006" i="14"/>
  <c r="O3007" i="14"/>
  <c r="O3008" i="14"/>
  <c r="O3009" i="14"/>
  <c r="O3010" i="14"/>
  <c r="O3011" i="14"/>
  <c r="O3012" i="14"/>
  <c r="O3013" i="14"/>
  <c r="O3014" i="14"/>
  <c r="O3015" i="14"/>
  <c r="O3016" i="14"/>
  <c r="O3017" i="14"/>
  <c r="O3018" i="14"/>
  <c r="O3019" i="14"/>
  <c r="O3020" i="14"/>
  <c r="O3021" i="14"/>
  <c r="O3022" i="14"/>
  <c r="O3023" i="14"/>
  <c r="O3024" i="14"/>
  <c r="O3025" i="14"/>
  <c r="O3026" i="14"/>
  <c r="O3027" i="14"/>
  <c r="O3028" i="14"/>
  <c r="O3029" i="14"/>
  <c r="O3030" i="14"/>
  <c r="O3031" i="14"/>
  <c r="O3032" i="14"/>
  <c r="O3033" i="14"/>
  <c r="O3034" i="14"/>
  <c r="O3035" i="14"/>
  <c r="O3036" i="14"/>
  <c r="O3037" i="14"/>
  <c r="O3038" i="14"/>
  <c r="O3039" i="14"/>
  <c r="O3040" i="14"/>
  <c r="O3041" i="14"/>
  <c r="O3042" i="14"/>
  <c r="O3043" i="14"/>
  <c r="O3044" i="14"/>
  <c r="O3045" i="14"/>
  <c r="O3046" i="14"/>
  <c r="O3047" i="14"/>
  <c r="O3048" i="14"/>
  <c r="O3049" i="14"/>
  <c r="O3050" i="14"/>
  <c r="O3051" i="14"/>
  <c r="O3052" i="14"/>
  <c r="O3053" i="14"/>
  <c r="O3054" i="14"/>
  <c r="O3055" i="14"/>
  <c r="O3056" i="14"/>
  <c r="O3057" i="14"/>
  <c r="O3058" i="14"/>
  <c r="O3059" i="14"/>
  <c r="O3060" i="14"/>
  <c r="O3061" i="14"/>
  <c r="O3062" i="14"/>
  <c r="O3063" i="14"/>
  <c r="O3064" i="14"/>
  <c r="O3065" i="14"/>
  <c r="O3066" i="14"/>
  <c r="O3067" i="14"/>
  <c r="O3068" i="14"/>
  <c r="O3069" i="14"/>
  <c r="O3070" i="14"/>
  <c r="O3071" i="14"/>
  <c r="O3072" i="14"/>
  <c r="O3073" i="14"/>
  <c r="O3074" i="14"/>
  <c r="O3075" i="14"/>
  <c r="O3076" i="14"/>
  <c r="O3077" i="14"/>
  <c r="O3078" i="14"/>
  <c r="O3079" i="14"/>
  <c r="O3080" i="14"/>
  <c r="O3081" i="14"/>
  <c r="O3082" i="14"/>
  <c r="O3083" i="14"/>
  <c r="O3084" i="14"/>
  <c r="O3085" i="14"/>
  <c r="O3086" i="14"/>
  <c r="O3087" i="14"/>
  <c r="O3088" i="14"/>
  <c r="O3089" i="14"/>
  <c r="O3090" i="14"/>
  <c r="O3091" i="14"/>
  <c r="O3092" i="14"/>
  <c r="O3093" i="14"/>
  <c r="O3094" i="14"/>
  <c r="O3095" i="14"/>
  <c r="O3096" i="14"/>
  <c r="O3097" i="14"/>
  <c r="O3098" i="14"/>
  <c r="O3099" i="14"/>
  <c r="O3100" i="14"/>
  <c r="O3101" i="14"/>
  <c r="O3102" i="14"/>
  <c r="O3103" i="14"/>
  <c r="O3104" i="14"/>
  <c r="O3105" i="14"/>
  <c r="O3106" i="14"/>
  <c r="O3107" i="14"/>
  <c r="O3108" i="14"/>
  <c r="O3109" i="14"/>
  <c r="O3110" i="14"/>
  <c r="O3111" i="14"/>
  <c r="O3112" i="14"/>
  <c r="O3113" i="14"/>
  <c r="O3114" i="14"/>
  <c r="O3115" i="14"/>
  <c r="O3116" i="14"/>
  <c r="O3117" i="14"/>
  <c r="O3118" i="14"/>
  <c r="O3119" i="14"/>
  <c r="O3120" i="14"/>
  <c r="O3121" i="14"/>
  <c r="O3122" i="14"/>
  <c r="O3123" i="14"/>
  <c r="O3124" i="14"/>
  <c r="O3125" i="14"/>
  <c r="O3126" i="14"/>
  <c r="O3127" i="14"/>
  <c r="O3128" i="14"/>
  <c r="O3129" i="14"/>
  <c r="O3130" i="14"/>
  <c r="O3131" i="14"/>
  <c r="O3132" i="14"/>
  <c r="O3133" i="14"/>
  <c r="O3134" i="14"/>
  <c r="O3135" i="14"/>
  <c r="O3136" i="14"/>
  <c r="O3137" i="14"/>
  <c r="O3138" i="14"/>
  <c r="O3139" i="14"/>
  <c r="O3140" i="14"/>
  <c r="O3141" i="14"/>
  <c r="O3142" i="14"/>
  <c r="O3143" i="14"/>
  <c r="O3144" i="14"/>
  <c r="O3145" i="14"/>
  <c r="O3146" i="14"/>
  <c r="O3147" i="14"/>
  <c r="O3148" i="14"/>
  <c r="O3149" i="14"/>
  <c r="O3150" i="14"/>
  <c r="O3151" i="14"/>
  <c r="O3152" i="14"/>
  <c r="O3153" i="14"/>
  <c r="O3154" i="14"/>
  <c r="O3155" i="14"/>
  <c r="O3156" i="14"/>
  <c r="O3157" i="14"/>
  <c r="O3158" i="14"/>
  <c r="O3159" i="14"/>
  <c r="O3160" i="14"/>
  <c r="O3161" i="14"/>
  <c r="O3162" i="14"/>
  <c r="O3163" i="14"/>
  <c r="O3164" i="14"/>
  <c r="O3165" i="14"/>
  <c r="O3166" i="14"/>
  <c r="O3167" i="14"/>
  <c r="O3168" i="14"/>
  <c r="O3169" i="14"/>
  <c r="O3170" i="14"/>
  <c r="O3171" i="14"/>
  <c r="O3172" i="14"/>
  <c r="O3173" i="14"/>
  <c r="O3174" i="14"/>
  <c r="O3175" i="14"/>
  <c r="O3176" i="14"/>
  <c r="O3177" i="14"/>
  <c r="O3178" i="14"/>
  <c r="O3179" i="14"/>
  <c r="O3180" i="14"/>
  <c r="O3181" i="14"/>
  <c r="O3182" i="14"/>
  <c r="O3183" i="14"/>
  <c r="O3184" i="14"/>
  <c r="O3185" i="14"/>
  <c r="O3186" i="14"/>
  <c r="O3187" i="14"/>
  <c r="O3188" i="14"/>
  <c r="O3189" i="14"/>
  <c r="O3190" i="14"/>
  <c r="O3191" i="14"/>
  <c r="O3192" i="14"/>
  <c r="O3193" i="14"/>
  <c r="O3194" i="14"/>
  <c r="O3195" i="14"/>
  <c r="O3196" i="14"/>
  <c r="O3197" i="14"/>
  <c r="O3198" i="14"/>
  <c r="O3199" i="14"/>
  <c r="O3200" i="14"/>
  <c r="O3201" i="14"/>
  <c r="O3202" i="14"/>
  <c r="O3203" i="14"/>
  <c r="O3204" i="14"/>
  <c r="O3205" i="14"/>
  <c r="O3206" i="14"/>
  <c r="O3207" i="14"/>
  <c r="O3208" i="14"/>
  <c r="O3209" i="14"/>
  <c r="O3210" i="14"/>
  <c r="O3211" i="14"/>
  <c r="O3212" i="14"/>
  <c r="O3213" i="14"/>
  <c r="O3214" i="14"/>
  <c r="O3215" i="14"/>
  <c r="O3216" i="14"/>
  <c r="O3217" i="14"/>
  <c r="O3218" i="14"/>
  <c r="O3219" i="14"/>
  <c r="O3220" i="14"/>
  <c r="O3221" i="14"/>
  <c r="O3222" i="14"/>
  <c r="O3223" i="14"/>
  <c r="O3224" i="14"/>
  <c r="O3225" i="14"/>
  <c r="O3226" i="14"/>
  <c r="O3227" i="14"/>
  <c r="O3228" i="14"/>
  <c r="O3229" i="14"/>
  <c r="O3230" i="14"/>
  <c r="O3231" i="14"/>
  <c r="O3232" i="14"/>
  <c r="O3233" i="14"/>
  <c r="O3234" i="14"/>
  <c r="O3235" i="14"/>
  <c r="O3236" i="14"/>
  <c r="O3237" i="14"/>
  <c r="O3238" i="14"/>
  <c r="O3239" i="14"/>
  <c r="O3240" i="14"/>
  <c r="O3241" i="14"/>
  <c r="O3242" i="14"/>
  <c r="O3243" i="14"/>
  <c r="O3244" i="14"/>
  <c r="O3245" i="14"/>
  <c r="O3246" i="14"/>
  <c r="O3247" i="14"/>
  <c r="O3248" i="14"/>
  <c r="O3249" i="14"/>
  <c r="O3250" i="14"/>
  <c r="O3251" i="14"/>
  <c r="O3252" i="14"/>
  <c r="O3253" i="14"/>
  <c r="O3254" i="14"/>
  <c r="O3255" i="14"/>
  <c r="O3256" i="14"/>
  <c r="O3257" i="14"/>
  <c r="O3258" i="14"/>
  <c r="O3259" i="14"/>
  <c r="O3260" i="14"/>
  <c r="O3261" i="14"/>
  <c r="O3262" i="14"/>
  <c r="O3263" i="14"/>
  <c r="O3264" i="14"/>
  <c r="O3265" i="14"/>
  <c r="O3266" i="14"/>
  <c r="O3267" i="14"/>
  <c r="O3268" i="14"/>
  <c r="O3269" i="14"/>
  <c r="O3270" i="14"/>
  <c r="O3271" i="14"/>
  <c r="O3272" i="14"/>
  <c r="O3273" i="14"/>
  <c r="O3274" i="14"/>
  <c r="O3275" i="14"/>
  <c r="O3276" i="14"/>
  <c r="O3277" i="14"/>
  <c r="O3278" i="14"/>
  <c r="O3279" i="14"/>
  <c r="O3280" i="14"/>
  <c r="O3281" i="14"/>
  <c r="O3282" i="14"/>
  <c r="O3283" i="14"/>
  <c r="O3284" i="14"/>
  <c r="O3285" i="14"/>
  <c r="O3286" i="14"/>
  <c r="O3287" i="14"/>
  <c r="O3288" i="14"/>
  <c r="O3289" i="14"/>
  <c r="O3290" i="14"/>
  <c r="O3291" i="14"/>
  <c r="O3292" i="14"/>
  <c r="O3293" i="14"/>
  <c r="O3294" i="14"/>
  <c r="O3295" i="14"/>
  <c r="O3296" i="14"/>
  <c r="O3297" i="14"/>
  <c r="O3298" i="14"/>
  <c r="O3299" i="14"/>
  <c r="O3300" i="14"/>
  <c r="O3301" i="14"/>
  <c r="O3302" i="14"/>
  <c r="O3303" i="14"/>
  <c r="O3304" i="14"/>
  <c r="O3305" i="14"/>
  <c r="O3306" i="14"/>
  <c r="O3307" i="14"/>
  <c r="O3308" i="14"/>
  <c r="O3309" i="14"/>
  <c r="O3310" i="14"/>
  <c r="O3311" i="14"/>
  <c r="O3312" i="14"/>
  <c r="O3313" i="14"/>
  <c r="O3314" i="14"/>
  <c r="O3315" i="14"/>
  <c r="O3316" i="14"/>
  <c r="O3317" i="14"/>
  <c r="O3318" i="14"/>
  <c r="O3319" i="14"/>
  <c r="O3320" i="14"/>
  <c r="O3321" i="14"/>
  <c r="O3322" i="14"/>
  <c r="O3323" i="14"/>
  <c r="O3324" i="14"/>
  <c r="O3325" i="14"/>
  <c r="O3326" i="14"/>
  <c r="O3327" i="14"/>
  <c r="O3328" i="14"/>
  <c r="O3329" i="14"/>
  <c r="O3330" i="14"/>
  <c r="O3331" i="14"/>
  <c r="O3332" i="14"/>
  <c r="O3333" i="14"/>
  <c r="O3334" i="14"/>
  <c r="O3335" i="14"/>
  <c r="O3336" i="14"/>
  <c r="O3337" i="14"/>
  <c r="O3338" i="14"/>
  <c r="O3339" i="14"/>
  <c r="O3340" i="14"/>
  <c r="O3341" i="14"/>
  <c r="O3342" i="14"/>
  <c r="O3343" i="14"/>
  <c r="O3344" i="14"/>
  <c r="O3345" i="14"/>
  <c r="O3346" i="14"/>
  <c r="O3347" i="14"/>
  <c r="O3348" i="14"/>
  <c r="O3349" i="14"/>
  <c r="O3350" i="14"/>
  <c r="O3351" i="14"/>
  <c r="O3352" i="14"/>
  <c r="O3353" i="14"/>
  <c r="O3354" i="14"/>
  <c r="O3355" i="14"/>
  <c r="O3356" i="14"/>
  <c r="O3357" i="14"/>
  <c r="O3358" i="14"/>
  <c r="O3359" i="14"/>
  <c r="O3360" i="14"/>
  <c r="O3361" i="14"/>
  <c r="O3362" i="14"/>
  <c r="O3363" i="14"/>
  <c r="O3364" i="14"/>
  <c r="O3365" i="14"/>
  <c r="O3366" i="14"/>
  <c r="O3367" i="14"/>
  <c r="O3368" i="14"/>
  <c r="O3369" i="14"/>
  <c r="O3370" i="14"/>
  <c r="O3371" i="14"/>
  <c r="O3372" i="14"/>
  <c r="O3373" i="14"/>
  <c r="O3374" i="14"/>
  <c r="O3375" i="14"/>
  <c r="O3376" i="14"/>
  <c r="O3377" i="14"/>
  <c r="O3378" i="14"/>
  <c r="O3379" i="14"/>
  <c r="O3380" i="14"/>
  <c r="O3381" i="14"/>
  <c r="O3382" i="14"/>
  <c r="O3383" i="14"/>
  <c r="O3384" i="14"/>
  <c r="O3385" i="14"/>
  <c r="O3386" i="14"/>
  <c r="O3387" i="14"/>
  <c r="O3388" i="14"/>
  <c r="O3389" i="14"/>
  <c r="O3390" i="14"/>
  <c r="O3391" i="14"/>
  <c r="O3392" i="14"/>
  <c r="O3393" i="14"/>
  <c r="O3394" i="14"/>
  <c r="O3395" i="14"/>
  <c r="O3396" i="14"/>
  <c r="O3397" i="14"/>
  <c r="O3398" i="14"/>
  <c r="O3399" i="14"/>
  <c r="O3400" i="14"/>
  <c r="O3401" i="14"/>
  <c r="O3402" i="14"/>
  <c r="O3403" i="14"/>
  <c r="O3404" i="14"/>
  <c r="O3405" i="14"/>
  <c r="O3406" i="14"/>
  <c r="O3407" i="14"/>
  <c r="O3408" i="14"/>
  <c r="O3409" i="14"/>
  <c r="O3410" i="14"/>
  <c r="O3411" i="14"/>
  <c r="O3412" i="14"/>
  <c r="O3413" i="14"/>
  <c r="O3414" i="14"/>
  <c r="O3415" i="14"/>
  <c r="O3416" i="14"/>
  <c r="O3417" i="14"/>
  <c r="O3418" i="14"/>
  <c r="O3419" i="14"/>
  <c r="O3420" i="14"/>
  <c r="O3421" i="14"/>
  <c r="O3422" i="14"/>
  <c r="O3423" i="14"/>
  <c r="O3424" i="14"/>
  <c r="O3425" i="14"/>
  <c r="O3426" i="14"/>
  <c r="O3427" i="14"/>
  <c r="O3428" i="14"/>
  <c r="O3429" i="14"/>
  <c r="O3430" i="14"/>
  <c r="O3431" i="14"/>
  <c r="O3432" i="14"/>
  <c r="O3433" i="14"/>
  <c r="O3434" i="14"/>
  <c r="O3435" i="14"/>
  <c r="O3436" i="14"/>
  <c r="O3437" i="14"/>
  <c r="O3438" i="14"/>
  <c r="O3439" i="14"/>
  <c r="O3440" i="14"/>
  <c r="O3441" i="14"/>
  <c r="O3442" i="14"/>
  <c r="O3443" i="14"/>
  <c r="O3444" i="14"/>
  <c r="O3445" i="14"/>
  <c r="O3446" i="14"/>
  <c r="O3447" i="14"/>
  <c r="O3448" i="14"/>
  <c r="O3449" i="14"/>
  <c r="O3450" i="14"/>
  <c r="O3451" i="14"/>
  <c r="O3452" i="14"/>
  <c r="O3453" i="14"/>
  <c r="O3454" i="14"/>
  <c r="O3455" i="14"/>
  <c r="O3456" i="14"/>
  <c r="O3457" i="14"/>
  <c r="O3458" i="14"/>
  <c r="O3459" i="14"/>
  <c r="O3460" i="14"/>
  <c r="O3461" i="14"/>
  <c r="O3462" i="14"/>
  <c r="O3463" i="14"/>
  <c r="O3464" i="14"/>
  <c r="O3465" i="14"/>
  <c r="O3466" i="14"/>
  <c r="O3467" i="14"/>
  <c r="O3468" i="14"/>
  <c r="O3469" i="14"/>
  <c r="O3470" i="14"/>
  <c r="O3471" i="14"/>
  <c r="O3472" i="14"/>
  <c r="O3473" i="14"/>
  <c r="O3474" i="14"/>
  <c r="O3475" i="14"/>
  <c r="O3476" i="14"/>
  <c r="O3477" i="14"/>
  <c r="O3478" i="14"/>
  <c r="O3479" i="14"/>
  <c r="O3480" i="14"/>
  <c r="O3481" i="14"/>
  <c r="O3482" i="14"/>
  <c r="O3483" i="14"/>
  <c r="O3484" i="14"/>
  <c r="O3485" i="14"/>
  <c r="O3486" i="14"/>
  <c r="O3487" i="14"/>
  <c r="O3488" i="14"/>
  <c r="O3489" i="14"/>
  <c r="O3490" i="14"/>
  <c r="O3491" i="14"/>
  <c r="O3492" i="14"/>
  <c r="O3493" i="14"/>
  <c r="O3494" i="14"/>
  <c r="O3495" i="14"/>
  <c r="O3496" i="14"/>
  <c r="O3497" i="14"/>
  <c r="O3498" i="14"/>
  <c r="O3499" i="14"/>
  <c r="O3500" i="14"/>
  <c r="O3501" i="14"/>
  <c r="O3502" i="14"/>
  <c r="O3503" i="14"/>
  <c r="O3504" i="14"/>
  <c r="O3505" i="14"/>
  <c r="O3506" i="14"/>
  <c r="O3507" i="14"/>
  <c r="O3508" i="14"/>
  <c r="O3509" i="14"/>
  <c r="O3510" i="14"/>
  <c r="O3511" i="14"/>
  <c r="O3512" i="14"/>
  <c r="O3513" i="14"/>
  <c r="O3514" i="14"/>
  <c r="O3515" i="14"/>
  <c r="O3516" i="14"/>
  <c r="O3517" i="14"/>
  <c r="O3518" i="14"/>
  <c r="O3519" i="14"/>
  <c r="O3520" i="14"/>
  <c r="O3521" i="14"/>
  <c r="O3522" i="14"/>
  <c r="O3523" i="14"/>
  <c r="O3524" i="14"/>
  <c r="O3525" i="14"/>
  <c r="O3526" i="14"/>
  <c r="O3527" i="14"/>
  <c r="O3528" i="14"/>
  <c r="O3529" i="14"/>
  <c r="O3530" i="14"/>
  <c r="O3531" i="14"/>
  <c r="O3532" i="14"/>
  <c r="O3533" i="14"/>
  <c r="O3534" i="14"/>
  <c r="O3535" i="14"/>
  <c r="O3536" i="14"/>
  <c r="O3537" i="14"/>
  <c r="O3538" i="14"/>
  <c r="O3539" i="14"/>
  <c r="O3540" i="14"/>
  <c r="O3541" i="14"/>
  <c r="O3542" i="14"/>
  <c r="O3543" i="14"/>
  <c r="O3544" i="14"/>
  <c r="O3545" i="14"/>
  <c r="O3546" i="14"/>
  <c r="O3547" i="14"/>
  <c r="O3548" i="14"/>
  <c r="O3549" i="14"/>
  <c r="O3550" i="14"/>
  <c r="O3551" i="14"/>
  <c r="O3552" i="14"/>
  <c r="O3553" i="14"/>
  <c r="O3554" i="14"/>
  <c r="O3555" i="14"/>
  <c r="O3556" i="14"/>
  <c r="O3557" i="14"/>
  <c r="O3558" i="14"/>
  <c r="O3559" i="14"/>
  <c r="O3560" i="14"/>
  <c r="O3561" i="14"/>
  <c r="O3562" i="14"/>
  <c r="O3563" i="14"/>
  <c r="O3564" i="14"/>
  <c r="O3565" i="14"/>
  <c r="O3566" i="14"/>
  <c r="O3567" i="14"/>
  <c r="O3568" i="14"/>
  <c r="O3569" i="14"/>
  <c r="O3570" i="14"/>
  <c r="O3571" i="14"/>
  <c r="O3572" i="14"/>
  <c r="O3573" i="14"/>
  <c r="O3574" i="14"/>
  <c r="O3575" i="14"/>
  <c r="O3576" i="14"/>
  <c r="O3577" i="14"/>
  <c r="O3578" i="14"/>
  <c r="O3579" i="14"/>
  <c r="O3580" i="14"/>
  <c r="O3581" i="14"/>
  <c r="O3582" i="14"/>
  <c r="O3583" i="14"/>
  <c r="O3584" i="14"/>
  <c r="O3585" i="14"/>
  <c r="O3586" i="14"/>
  <c r="O3587" i="14"/>
  <c r="O3588" i="14"/>
  <c r="O3589" i="14"/>
  <c r="O3590" i="14"/>
  <c r="O3591" i="14"/>
  <c r="O3592" i="14"/>
  <c r="O3593" i="14"/>
  <c r="O3594" i="14"/>
  <c r="O3595" i="14"/>
  <c r="O3596" i="14"/>
  <c r="O3597" i="14"/>
  <c r="O3598" i="14"/>
  <c r="O3599" i="14"/>
  <c r="O3600" i="14"/>
  <c r="O3601" i="14"/>
  <c r="O3602" i="14"/>
  <c r="O3603" i="14"/>
  <c r="O3604" i="14"/>
  <c r="O3605" i="14"/>
  <c r="O3606" i="14"/>
  <c r="O3607" i="14"/>
  <c r="O3608" i="14"/>
  <c r="O3609" i="14"/>
  <c r="O3610" i="14"/>
  <c r="O3611" i="14"/>
  <c r="O3612" i="14"/>
  <c r="O3613" i="14"/>
  <c r="O3614" i="14"/>
  <c r="O3615" i="14"/>
  <c r="O3616" i="14"/>
  <c r="O3617" i="14"/>
  <c r="O3618" i="14"/>
  <c r="O3619" i="14"/>
  <c r="O3620" i="14"/>
  <c r="O3621" i="14"/>
  <c r="O3622" i="14"/>
  <c r="O3623" i="14"/>
  <c r="O3624" i="14"/>
  <c r="O3625" i="14"/>
  <c r="O3626" i="14"/>
  <c r="O3627" i="14"/>
  <c r="O3628" i="14"/>
  <c r="O3629" i="14"/>
  <c r="O3630" i="14"/>
  <c r="O3631" i="14"/>
  <c r="O3632" i="14"/>
  <c r="O3633" i="14"/>
  <c r="O3634" i="14"/>
  <c r="O3635" i="14"/>
  <c r="O3636" i="14"/>
  <c r="O3637" i="14"/>
  <c r="O3638" i="14"/>
  <c r="O3639" i="14"/>
  <c r="O3640" i="14"/>
  <c r="O3641" i="14"/>
  <c r="O3642" i="14"/>
  <c r="O3643" i="14"/>
  <c r="O3644" i="14"/>
  <c r="O3645" i="14"/>
  <c r="O3646" i="14"/>
  <c r="O3647" i="14"/>
  <c r="O3648" i="14"/>
  <c r="O3649" i="14"/>
  <c r="O3650" i="14"/>
  <c r="O3651" i="14"/>
  <c r="O3652" i="14"/>
  <c r="O3653" i="14"/>
  <c r="O3654" i="14"/>
  <c r="O3655" i="14"/>
  <c r="O3656" i="14"/>
  <c r="O3657" i="14"/>
  <c r="O3658" i="14"/>
  <c r="O3659" i="14"/>
  <c r="O3660" i="14"/>
  <c r="O3661" i="14"/>
  <c r="O3662" i="14"/>
  <c r="O3663" i="14"/>
  <c r="O3664" i="14"/>
  <c r="O3665" i="14"/>
  <c r="O3666" i="14"/>
  <c r="O3667" i="14"/>
  <c r="O3668" i="14"/>
  <c r="O3669" i="14"/>
  <c r="O3670" i="14"/>
  <c r="O3671" i="14"/>
  <c r="O3672" i="14"/>
  <c r="O3673" i="14"/>
  <c r="O3674" i="14"/>
  <c r="O3675" i="14"/>
  <c r="O3676" i="14"/>
  <c r="O3677" i="14"/>
  <c r="O3678" i="14"/>
  <c r="O3679" i="14"/>
  <c r="O3680" i="14"/>
  <c r="B65" i="22"/>
  <c r="B66" i="22"/>
  <c r="B67" i="22"/>
  <c r="B68" i="22"/>
  <c r="B69" i="22"/>
  <c r="B70" i="22"/>
  <c r="B71" i="22"/>
  <c r="B72" i="22"/>
  <c r="B73" i="22"/>
  <c r="B74" i="22"/>
  <c r="B75" i="22"/>
  <c r="B76" i="22"/>
  <c r="B77" i="22"/>
  <c r="B78" i="22"/>
  <c r="B79" i="22"/>
  <c r="B80" i="22"/>
  <c r="B81" i="22"/>
  <c r="B82" i="22"/>
  <c r="B83" i="22"/>
  <c r="B84" i="22"/>
  <c r="B85" i="22"/>
  <c r="B86" i="22"/>
  <c r="B87" i="22"/>
  <c r="B88" i="22"/>
  <c r="B89" i="22"/>
  <c r="B90" i="22"/>
  <c r="B91" i="22"/>
  <c r="B92" i="22"/>
  <c r="B93" i="22"/>
  <c r="B94" i="22"/>
  <c r="B95" i="22"/>
  <c r="B96" i="22"/>
  <c r="B97" i="22"/>
  <c r="B98" i="22"/>
  <c r="B99" i="22"/>
  <c r="B100" i="22"/>
  <c r="B101" i="22"/>
  <c r="B102" i="22"/>
  <c r="B103" i="22"/>
  <c r="B104" i="22"/>
  <c r="B105" i="22"/>
  <c r="B106" i="22"/>
  <c r="B107" i="22"/>
  <c r="B108" i="22"/>
  <c r="B109" i="22"/>
  <c r="B110" i="22"/>
  <c r="B111" i="22"/>
  <c r="B112" i="22"/>
  <c r="B113" i="22"/>
  <c r="B114" i="22"/>
  <c r="B115" i="22"/>
  <c r="B116" i="22"/>
  <c r="B117" i="22"/>
  <c r="B118" i="22"/>
  <c r="B119" i="22"/>
  <c r="B120" i="22"/>
  <c r="B121" i="22"/>
  <c r="B122" i="22"/>
  <c r="B123" i="22"/>
  <c r="B124" i="22"/>
  <c r="B125" i="22"/>
  <c r="B126" i="22"/>
  <c r="B127" i="22"/>
  <c r="B128" i="22"/>
  <c r="B129" i="22"/>
  <c r="B130" i="22"/>
  <c r="B131" i="22"/>
  <c r="B132" i="22"/>
  <c r="B133" i="22"/>
  <c r="B134" i="22"/>
  <c r="B135" i="22"/>
  <c r="B136" i="22"/>
  <c r="B137" i="22"/>
  <c r="B138" i="22"/>
  <c r="B139" i="22"/>
  <c r="B140" i="22"/>
  <c r="B141" i="22"/>
  <c r="B142" i="22"/>
  <c r="B143" i="22"/>
  <c r="B144" i="22"/>
  <c r="B145" i="22"/>
  <c r="B146" i="22"/>
  <c r="B147" i="22"/>
  <c r="B148" i="22"/>
  <c r="B149" i="22"/>
  <c r="B150" i="22"/>
  <c r="B151" i="22"/>
  <c r="B152" i="22"/>
  <c r="B153" i="22"/>
  <c r="B154" i="22"/>
  <c r="B155" i="22"/>
  <c r="B156" i="22"/>
  <c r="B157" i="22"/>
  <c r="B158" i="22"/>
  <c r="B159" i="22"/>
  <c r="B160" i="22"/>
  <c r="B161" i="22"/>
  <c r="B162" i="22"/>
  <c r="B163" i="22"/>
  <c r="B164" i="22"/>
  <c r="B165" i="22"/>
  <c r="B166" i="22"/>
  <c r="B167" i="22"/>
  <c r="B168" i="22"/>
  <c r="B169" i="22"/>
  <c r="B170" i="22"/>
  <c r="B171" i="22"/>
  <c r="B172" i="22"/>
  <c r="B173" i="22"/>
  <c r="B174" i="22"/>
  <c r="B175" i="22"/>
  <c r="B176" i="22"/>
  <c r="B177" i="22"/>
  <c r="B178" i="22"/>
  <c r="B179" i="22"/>
  <c r="B180" i="22"/>
  <c r="B181" i="22"/>
  <c r="B182" i="22"/>
  <c r="B183" i="22"/>
  <c r="B184" i="22"/>
  <c r="B185" i="22"/>
  <c r="B186" i="22"/>
  <c r="B187" i="22"/>
  <c r="B188" i="22"/>
  <c r="B189" i="22"/>
  <c r="B190" i="22"/>
  <c r="B191" i="22"/>
  <c r="B192" i="22"/>
  <c r="B193" i="22"/>
  <c r="B194" i="22"/>
  <c r="B195" i="22"/>
  <c r="B196" i="22"/>
  <c r="B197" i="22"/>
  <c r="B198" i="22"/>
  <c r="B199" i="22"/>
  <c r="B200" i="22"/>
  <c r="B201" i="22"/>
  <c r="B202" i="22"/>
  <c r="B203" i="22"/>
  <c r="B204" i="22"/>
  <c r="B205" i="22"/>
  <c r="B206" i="22"/>
  <c r="B207" i="22"/>
  <c r="B208" i="22"/>
  <c r="B209" i="22"/>
  <c r="B210" i="22"/>
  <c r="B211" i="22"/>
  <c r="B212" i="22"/>
  <c r="B213" i="22"/>
  <c r="B214" i="22"/>
  <c r="B215" i="22"/>
  <c r="B216" i="22"/>
  <c r="B217" i="22"/>
  <c r="B218" i="22"/>
  <c r="B219" i="22"/>
  <c r="B220" i="22"/>
  <c r="B221" i="22"/>
  <c r="B222" i="22"/>
  <c r="B223" i="22"/>
  <c r="B224" i="22"/>
  <c r="B225" i="22"/>
  <c r="B226" i="22"/>
  <c r="B227" i="22"/>
  <c r="B228" i="22"/>
  <c r="B229" i="22"/>
  <c r="B230" i="22"/>
  <c r="B231" i="22"/>
  <c r="B232" i="22"/>
  <c r="B233" i="22"/>
  <c r="B234" i="22"/>
  <c r="B235" i="22"/>
  <c r="B236" i="22"/>
  <c r="B237" i="22"/>
  <c r="B238" i="22"/>
  <c r="B239" i="22"/>
  <c r="B240" i="22"/>
  <c r="B241" i="22"/>
  <c r="B242" i="22"/>
  <c r="B243" i="22"/>
  <c r="B244" i="22"/>
  <c r="B245" i="22"/>
  <c r="B246" i="22"/>
  <c r="B247" i="22"/>
  <c r="B248" i="22"/>
  <c r="B249" i="22"/>
  <c r="B250" i="22"/>
  <c r="B251" i="22"/>
  <c r="B252" i="22"/>
  <c r="B253" i="22"/>
  <c r="B254" i="22"/>
  <c r="B255" i="22"/>
  <c r="B256" i="22"/>
  <c r="B257" i="22"/>
  <c r="B258" i="22"/>
  <c r="B259" i="22"/>
  <c r="B260" i="22"/>
  <c r="B261" i="22"/>
  <c r="B262" i="22"/>
  <c r="B263" i="22"/>
  <c r="B264" i="22"/>
  <c r="B265" i="22"/>
  <c r="B266" i="22"/>
  <c r="B267" i="22"/>
  <c r="B268" i="22"/>
  <c r="B269" i="22"/>
  <c r="B270" i="22"/>
  <c r="B271" i="22"/>
  <c r="B272" i="22"/>
  <c r="B273" i="22"/>
  <c r="B274" i="22"/>
  <c r="B275" i="22"/>
  <c r="B276" i="22"/>
  <c r="B277" i="22"/>
  <c r="B278" i="22"/>
  <c r="B279" i="22"/>
  <c r="B280" i="22"/>
  <c r="B281" i="22"/>
  <c r="B282" i="22"/>
  <c r="B283" i="22"/>
  <c r="B284" i="22"/>
  <c r="B285" i="22"/>
  <c r="B286" i="22"/>
  <c r="B287" i="22"/>
  <c r="B288" i="22"/>
  <c r="B289" i="22"/>
  <c r="B290" i="22"/>
  <c r="B291" i="22"/>
  <c r="B292" i="22"/>
  <c r="B293" i="22"/>
  <c r="B294" i="22"/>
  <c r="B295" i="22"/>
  <c r="B296" i="22"/>
  <c r="B297" i="22"/>
  <c r="B298" i="22"/>
  <c r="B299" i="22"/>
  <c r="B300" i="22"/>
  <c r="B301" i="22"/>
  <c r="B302" i="22"/>
  <c r="B303" i="22"/>
  <c r="B304" i="22"/>
  <c r="B305" i="22"/>
  <c r="B306" i="22"/>
  <c r="B307" i="22"/>
  <c r="B308" i="22"/>
  <c r="B309" i="22"/>
  <c r="B310" i="22"/>
  <c r="B311" i="22"/>
  <c r="B312" i="22"/>
  <c r="B313" i="22"/>
  <c r="B314" i="22"/>
  <c r="B315" i="22"/>
  <c r="B316" i="22"/>
  <c r="B317" i="22"/>
  <c r="B318" i="22"/>
  <c r="B319" i="22"/>
  <c r="B320" i="22"/>
  <c r="B321" i="22"/>
  <c r="B322" i="22"/>
  <c r="B323" i="22"/>
  <c r="B324" i="22"/>
  <c r="B325" i="22"/>
  <c r="B326" i="22"/>
  <c r="B327" i="22"/>
  <c r="B328" i="22"/>
  <c r="B329" i="22"/>
  <c r="B330" i="22"/>
  <c r="B331" i="22"/>
  <c r="B332" i="22"/>
  <c r="B333" i="22"/>
  <c r="B334" i="22"/>
  <c r="B335" i="22"/>
  <c r="B336" i="22"/>
  <c r="B337" i="22"/>
  <c r="B338" i="22"/>
  <c r="B339" i="22"/>
  <c r="B340" i="22"/>
  <c r="B341" i="22"/>
  <c r="B342" i="22"/>
  <c r="B343" i="22"/>
  <c r="B344" i="22"/>
  <c r="B345" i="22"/>
  <c r="B346" i="22"/>
  <c r="B347" i="22"/>
  <c r="B348" i="22"/>
  <c r="B349" i="22"/>
  <c r="B350" i="22"/>
  <c r="B351" i="22"/>
  <c r="B352" i="22"/>
  <c r="B353" i="22"/>
  <c r="B354" i="22"/>
  <c r="B355" i="22"/>
  <c r="B356" i="22"/>
  <c r="B357" i="22"/>
  <c r="B358" i="22"/>
  <c r="B359" i="22"/>
  <c r="B360" i="22"/>
  <c r="B361" i="22"/>
  <c r="B362" i="22"/>
  <c r="B363" i="22"/>
  <c r="B364" i="22"/>
  <c r="B365" i="22"/>
  <c r="B366" i="22"/>
  <c r="B367" i="22"/>
  <c r="B368" i="22"/>
  <c r="B369" i="22"/>
  <c r="B370" i="22"/>
  <c r="B371" i="22"/>
  <c r="B372" i="22"/>
  <c r="B373" i="22"/>
  <c r="B374" i="22"/>
  <c r="B375" i="22"/>
  <c r="B376" i="22"/>
  <c r="B377" i="22"/>
  <c r="B378" i="22"/>
  <c r="B379" i="22"/>
  <c r="B380" i="22"/>
  <c r="B381" i="22"/>
  <c r="B382" i="22"/>
  <c r="B383" i="22"/>
  <c r="B384" i="22"/>
  <c r="B385" i="22"/>
  <c r="B386" i="22"/>
  <c r="B387" i="22"/>
  <c r="B388" i="22"/>
  <c r="B389" i="22"/>
  <c r="B390" i="22"/>
  <c r="B391" i="22"/>
  <c r="B392" i="22"/>
  <c r="B393" i="22"/>
  <c r="B394" i="22"/>
  <c r="B395" i="22"/>
  <c r="B396" i="22"/>
  <c r="B397" i="22"/>
  <c r="B398" i="22"/>
  <c r="B399" i="22"/>
  <c r="B400" i="22"/>
  <c r="B401" i="22"/>
  <c r="B402" i="22"/>
  <c r="B403" i="22"/>
  <c r="B404" i="22"/>
  <c r="B405" i="22"/>
  <c r="B406" i="22"/>
  <c r="B407" i="22"/>
  <c r="B408" i="22"/>
  <c r="B409" i="22"/>
  <c r="B410" i="22"/>
  <c r="B411" i="22"/>
  <c r="B412" i="22"/>
  <c r="B413" i="22"/>
  <c r="B414" i="22"/>
  <c r="B415" i="22"/>
  <c r="B416" i="22"/>
  <c r="B417" i="22"/>
  <c r="B418" i="22"/>
  <c r="B419" i="22"/>
  <c r="B420" i="22"/>
  <c r="B421" i="22"/>
  <c r="B422" i="22"/>
  <c r="B423" i="22"/>
  <c r="B424" i="22"/>
  <c r="B425" i="22"/>
  <c r="B426" i="22"/>
  <c r="B427" i="22"/>
  <c r="B428" i="22"/>
  <c r="B429" i="22"/>
  <c r="B430" i="22"/>
  <c r="B431" i="22"/>
  <c r="B432" i="22"/>
  <c r="B433" i="22"/>
  <c r="B434" i="22"/>
  <c r="B435" i="22"/>
  <c r="B436" i="22"/>
  <c r="B437" i="22"/>
  <c r="B438" i="22"/>
  <c r="B439" i="22"/>
  <c r="B440" i="22"/>
  <c r="B441" i="22"/>
  <c r="B442" i="22"/>
  <c r="B443" i="22"/>
  <c r="B444" i="22"/>
  <c r="B445" i="22"/>
  <c r="B446" i="22"/>
  <c r="B447" i="22"/>
  <c r="B448" i="22"/>
  <c r="B449" i="22"/>
  <c r="B450" i="22"/>
  <c r="B451" i="22"/>
  <c r="B452" i="22"/>
  <c r="B453" i="22"/>
  <c r="B454" i="22"/>
  <c r="B455" i="22"/>
  <c r="B456" i="22"/>
  <c r="B457" i="22"/>
  <c r="B458" i="22"/>
  <c r="B459" i="22"/>
  <c r="B460" i="22"/>
  <c r="B461" i="22"/>
  <c r="B462" i="22"/>
  <c r="B463" i="22"/>
  <c r="B464" i="22"/>
  <c r="B465" i="22"/>
  <c r="B466" i="22"/>
  <c r="B467" i="22"/>
  <c r="B468" i="22"/>
  <c r="B469" i="22"/>
  <c r="B470" i="22"/>
  <c r="B471" i="22"/>
  <c r="B472" i="22"/>
  <c r="B473" i="22"/>
  <c r="B474" i="22"/>
  <c r="B475" i="22"/>
  <c r="B476" i="22"/>
  <c r="B477" i="22"/>
  <c r="B478" i="22"/>
  <c r="B479" i="22"/>
  <c r="B480" i="22"/>
  <c r="B481" i="22"/>
  <c r="B482" i="22"/>
  <c r="B483" i="22"/>
  <c r="B484" i="22"/>
  <c r="B485" i="22"/>
  <c r="B486" i="22"/>
  <c r="B487" i="22"/>
  <c r="B488" i="22"/>
  <c r="B489" i="22"/>
  <c r="B490" i="22"/>
  <c r="B491" i="22"/>
  <c r="B492" i="22"/>
  <c r="B493" i="22"/>
  <c r="B494" i="22"/>
  <c r="B495" i="22"/>
  <c r="B496" i="22"/>
  <c r="B497" i="22"/>
  <c r="B498" i="22"/>
  <c r="B499" i="22"/>
  <c r="B500" i="22"/>
  <c r="B501" i="22"/>
  <c r="B502" i="22"/>
  <c r="B503" i="22"/>
  <c r="B504" i="22"/>
  <c r="B505" i="22"/>
  <c r="B506" i="22"/>
  <c r="B507" i="22"/>
  <c r="B508" i="22"/>
  <c r="B509" i="22"/>
  <c r="B510" i="22"/>
  <c r="B511" i="22"/>
  <c r="B512" i="22"/>
  <c r="B513" i="22"/>
  <c r="B514" i="22"/>
  <c r="B515" i="22"/>
  <c r="B516" i="22"/>
  <c r="B517" i="22"/>
  <c r="B518" i="22"/>
  <c r="B519" i="22"/>
  <c r="B520" i="22"/>
  <c r="B521" i="22"/>
  <c r="B522" i="22"/>
  <c r="B523" i="22"/>
  <c r="B524" i="22"/>
  <c r="B525" i="22"/>
  <c r="B526" i="22"/>
  <c r="B527" i="22"/>
  <c r="B528" i="22"/>
  <c r="B529" i="22"/>
  <c r="B530" i="22"/>
  <c r="B531" i="22"/>
  <c r="B532" i="22"/>
  <c r="B533" i="22"/>
  <c r="B534" i="22"/>
  <c r="B535" i="22"/>
  <c r="B536" i="22"/>
  <c r="B537" i="22"/>
  <c r="B538" i="22"/>
  <c r="B539" i="22"/>
  <c r="B540" i="22"/>
  <c r="B541" i="22"/>
  <c r="B542" i="22"/>
  <c r="B543" i="22"/>
  <c r="B544" i="22"/>
  <c r="B545" i="22"/>
  <c r="B546" i="22"/>
  <c r="B547" i="22"/>
  <c r="B548" i="22"/>
  <c r="B549" i="22"/>
  <c r="B550" i="22"/>
  <c r="B551" i="22"/>
  <c r="B552" i="22"/>
  <c r="B553" i="22"/>
  <c r="B554" i="22"/>
  <c r="B555" i="22"/>
  <c r="B556" i="22"/>
  <c r="B557" i="22"/>
  <c r="B558" i="22"/>
  <c r="B559" i="22"/>
  <c r="B560" i="22"/>
  <c r="B561" i="22"/>
  <c r="B562" i="22"/>
  <c r="B563" i="22"/>
  <c r="B564" i="22"/>
  <c r="B565" i="22"/>
  <c r="B566" i="22"/>
  <c r="B567" i="22"/>
  <c r="B568" i="22"/>
  <c r="B569" i="22"/>
  <c r="B570" i="22"/>
  <c r="B571" i="22"/>
  <c r="B572" i="22"/>
  <c r="B573" i="22"/>
  <c r="B574" i="22"/>
  <c r="B575" i="22"/>
  <c r="B576" i="22"/>
  <c r="B577" i="22"/>
  <c r="B578" i="22"/>
  <c r="B579" i="22"/>
  <c r="B580" i="22"/>
  <c r="B581" i="22"/>
  <c r="B582" i="22"/>
  <c r="B583" i="22"/>
  <c r="B584" i="22"/>
  <c r="B585" i="22"/>
  <c r="B586" i="22"/>
  <c r="B587" i="22"/>
  <c r="B588" i="22"/>
  <c r="B589" i="22"/>
  <c r="B590" i="22"/>
  <c r="B591" i="22"/>
  <c r="B592" i="22"/>
  <c r="B593" i="22"/>
  <c r="B594" i="22"/>
  <c r="B595" i="22"/>
  <c r="B596" i="22"/>
  <c r="B597" i="22"/>
  <c r="B598" i="22"/>
  <c r="B599" i="22"/>
  <c r="B600" i="22"/>
  <c r="B601" i="22"/>
  <c r="B602" i="22"/>
  <c r="B603" i="22"/>
  <c r="B604" i="22"/>
  <c r="B605" i="22"/>
  <c r="B606" i="22"/>
  <c r="B607" i="22"/>
  <c r="B608" i="22"/>
  <c r="B609" i="22"/>
  <c r="B610" i="22"/>
  <c r="B611" i="22"/>
  <c r="B612" i="22"/>
  <c r="B613" i="22"/>
  <c r="B614" i="22"/>
  <c r="B615" i="22"/>
  <c r="B616" i="22"/>
  <c r="B617" i="22"/>
  <c r="B618" i="22"/>
  <c r="B619" i="22"/>
  <c r="B620" i="22"/>
  <c r="B621" i="22"/>
  <c r="B622" i="22"/>
  <c r="B623" i="22"/>
  <c r="B624" i="22"/>
  <c r="B625" i="22"/>
  <c r="B626" i="22"/>
  <c r="B627" i="22"/>
  <c r="B628" i="22"/>
  <c r="B629" i="22"/>
  <c r="B630" i="22"/>
  <c r="B631" i="22"/>
  <c r="B632" i="22"/>
  <c r="B633" i="22"/>
  <c r="B634" i="22"/>
  <c r="B635" i="22"/>
  <c r="B636" i="22"/>
  <c r="B637" i="22"/>
  <c r="B638" i="22"/>
  <c r="B639" i="22"/>
  <c r="B640" i="22"/>
  <c r="B641" i="22"/>
  <c r="B642" i="22"/>
  <c r="B643" i="22"/>
  <c r="B644" i="22"/>
  <c r="B645" i="22"/>
  <c r="B646" i="22"/>
  <c r="B647" i="22"/>
  <c r="B648" i="22"/>
  <c r="B649" i="22"/>
  <c r="B650" i="22"/>
  <c r="B651" i="22"/>
  <c r="B652" i="22"/>
  <c r="B653" i="22"/>
  <c r="B654" i="22"/>
  <c r="B655" i="22"/>
  <c r="B656" i="22"/>
  <c r="B657" i="22"/>
  <c r="B658" i="22"/>
  <c r="B659" i="22"/>
  <c r="B660" i="22"/>
  <c r="B661" i="22"/>
  <c r="B662" i="22"/>
  <c r="B663" i="22"/>
  <c r="B664" i="22"/>
  <c r="B665" i="22"/>
  <c r="B666" i="22"/>
  <c r="B667" i="22"/>
  <c r="B668" i="22"/>
  <c r="B669" i="22"/>
  <c r="B670" i="22"/>
  <c r="B671" i="22"/>
  <c r="B672" i="22"/>
  <c r="B673" i="22"/>
  <c r="B674" i="22"/>
  <c r="B675" i="22"/>
  <c r="B676" i="22"/>
  <c r="B677" i="22"/>
  <c r="B678" i="22"/>
  <c r="B679" i="22"/>
  <c r="B680" i="22"/>
  <c r="B681" i="22"/>
  <c r="B682" i="22"/>
  <c r="B683" i="22"/>
  <c r="B684" i="22"/>
  <c r="B685" i="22"/>
  <c r="B686" i="22"/>
  <c r="B687" i="22"/>
  <c r="B688" i="22"/>
  <c r="B689" i="22"/>
  <c r="B690" i="22"/>
  <c r="B691" i="22"/>
  <c r="B692" i="22"/>
  <c r="B693" i="22"/>
  <c r="B694" i="22"/>
  <c r="B695" i="22"/>
  <c r="B696" i="22"/>
  <c r="B697" i="22"/>
  <c r="B698" i="22"/>
  <c r="B699" i="22"/>
  <c r="B700" i="22"/>
  <c r="B701" i="22"/>
  <c r="B702" i="22"/>
  <c r="B703" i="22"/>
  <c r="B704" i="22"/>
  <c r="B705" i="22"/>
  <c r="B706" i="22"/>
  <c r="B707" i="22"/>
  <c r="B708" i="22"/>
  <c r="B709" i="22"/>
  <c r="B710" i="22"/>
  <c r="B711" i="22"/>
  <c r="B712" i="22"/>
  <c r="B713" i="22"/>
  <c r="B714" i="22"/>
  <c r="B715" i="22"/>
  <c r="B716" i="22"/>
  <c r="B717" i="22"/>
  <c r="B718" i="22"/>
  <c r="B719" i="22"/>
  <c r="B720" i="22"/>
  <c r="B721" i="22"/>
  <c r="B722" i="22"/>
  <c r="B723" i="22"/>
  <c r="B724" i="22"/>
  <c r="B725" i="22"/>
  <c r="B726" i="22"/>
  <c r="B727" i="22"/>
  <c r="B728" i="22"/>
  <c r="B729" i="22"/>
  <c r="B730" i="22"/>
  <c r="B731" i="22"/>
  <c r="B732" i="22"/>
  <c r="B733" i="22"/>
  <c r="B734" i="22"/>
  <c r="B735" i="22"/>
  <c r="B736" i="22"/>
  <c r="B737" i="22"/>
  <c r="B738" i="22"/>
  <c r="B739" i="22"/>
  <c r="B740" i="22"/>
  <c r="B741" i="22"/>
  <c r="B742" i="22"/>
  <c r="B743" i="22"/>
  <c r="B744" i="22"/>
  <c r="B745" i="22"/>
  <c r="B746" i="22"/>
  <c r="B747" i="22"/>
  <c r="B748" i="22"/>
  <c r="B749" i="22"/>
  <c r="B750" i="22"/>
  <c r="B751" i="22"/>
  <c r="B752" i="22"/>
  <c r="B753" i="22"/>
  <c r="B754" i="22"/>
  <c r="B755" i="22"/>
  <c r="B756" i="22"/>
  <c r="B757" i="22"/>
  <c r="B758" i="22"/>
  <c r="B759" i="22"/>
  <c r="B760" i="22"/>
  <c r="B761" i="22"/>
  <c r="B762" i="22"/>
  <c r="B763" i="22"/>
  <c r="B764" i="22"/>
  <c r="B765" i="22"/>
  <c r="B766" i="22"/>
  <c r="B767" i="22"/>
  <c r="B768" i="22"/>
  <c r="B769" i="22"/>
  <c r="B770" i="22"/>
  <c r="B771" i="22"/>
  <c r="B772" i="22"/>
  <c r="B773" i="22"/>
  <c r="B774" i="22"/>
  <c r="B775" i="22"/>
  <c r="B776" i="22"/>
  <c r="B777" i="22"/>
  <c r="B778" i="22"/>
  <c r="B779" i="22"/>
  <c r="B780" i="22"/>
  <c r="B781" i="22"/>
  <c r="B782" i="22"/>
  <c r="B783" i="22"/>
  <c r="B784" i="22"/>
  <c r="B785" i="22"/>
  <c r="B786" i="22"/>
  <c r="B787" i="22"/>
  <c r="B788" i="22"/>
  <c r="B789" i="22"/>
  <c r="B790" i="22"/>
  <c r="B791" i="22"/>
  <c r="B792" i="22"/>
  <c r="B793" i="22"/>
  <c r="B794" i="22"/>
  <c r="B795" i="22"/>
  <c r="B796" i="22"/>
  <c r="B797" i="22"/>
  <c r="B798" i="22"/>
  <c r="B799" i="22"/>
  <c r="B800" i="22"/>
  <c r="B801" i="22"/>
  <c r="B802" i="22"/>
  <c r="B803" i="22"/>
  <c r="B804" i="22"/>
  <c r="B805" i="22"/>
  <c r="B806" i="22"/>
  <c r="B807" i="22"/>
  <c r="B808" i="22"/>
  <c r="B809" i="22"/>
  <c r="B810" i="22"/>
  <c r="B811" i="22"/>
  <c r="B812" i="22"/>
  <c r="B813" i="22"/>
  <c r="B814" i="22"/>
  <c r="B815" i="22"/>
  <c r="B816" i="22"/>
  <c r="B817" i="22"/>
  <c r="B818" i="22"/>
  <c r="B819" i="22"/>
  <c r="B820" i="22"/>
  <c r="B821" i="22"/>
  <c r="B822" i="22"/>
  <c r="B823" i="22"/>
  <c r="B824" i="22"/>
  <c r="B825" i="22"/>
  <c r="B826" i="22"/>
  <c r="B827" i="22"/>
  <c r="B828" i="22"/>
  <c r="B829" i="22"/>
  <c r="B830" i="22"/>
  <c r="B831" i="22"/>
  <c r="B832" i="22"/>
  <c r="B833" i="22"/>
  <c r="B834" i="22"/>
  <c r="B835" i="22"/>
  <c r="B836" i="22"/>
  <c r="B837" i="22"/>
  <c r="B838" i="22"/>
  <c r="B839" i="22"/>
  <c r="B840" i="22"/>
  <c r="B841" i="22"/>
  <c r="B842" i="22"/>
  <c r="B843" i="22"/>
  <c r="B844" i="22"/>
  <c r="B845" i="22"/>
  <c r="B846" i="22"/>
  <c r="B847" i="22"/>
  <c r="B848" i="22"/>
  <c r="B849" i="22"/>
  <c r="B850" i="22"/>
  <c r="B851" i="22"/>
  <c r="B852" i="22"/>
  <c r="B853" i="22"/>
  <c r="B854" i="22"/>
  <c r="B855" i="22"/>
  <c r="B856" i="22"/>
  <c r="B857" i="22"/>
  <c r="B858" i="22"/>
  <c r="B859" i="22"/>
  <c r="B860" i="22"/>
  <c r="B861" i="22"/>
  <c r="B862" i="22"/>
  <c r="B863" i="22"/>
  <c r="B864" i="22"/>
  <c r="B865" i="22"/>
  <c r="B866" i="22"/>
  <c r="B867" i="22"/>
  <c r="B868" i="22"/>
  <c r="B869" i="22"/>
  <c r="B870" i="22"/>
  <c r="B871" i="22"/>
  <c r="B872" i="22"/>
  <c r="B873" i="22"/>
  <c r="B874" i="22"/>
  <c r="B875" i="22"/>
  <c r="B876" i="22"/>
  <c r="B877" i="22"/>
  <c r="B878" i="22"/>
  <c r="B879" i="22"/>
  <c r="B880" i="22"/>
  <c r="B881" i="22"/>
  <c r="B882" i="22"/>
  <c r="B883" i="22"/>
  <c r="B884" i="22"/>
  <c r="B885" i="22"/>
  <c r="B886" i="22"/>
  <c r="B887" i="22"/>
  <c r="B888" i="22"/>
  <c r="B889" i="22"/>
  <c r="B890" i="22"/>
  <c r="B891" i="22"/>
  <c r="B892" i="22"/>
  <c r="B893" i="22"/>
  <c r="B894" i="22"/>
  <c r="B895" i="22"/>
  <c r="B896" i="22"/>
  <c r="B897" i="22"/>
  <c r="B898" i="22"/>
  <c r="B899" i="22"/>
  <c r="B900" i="22"/>
  <c r="B901" i="22"/>
  <c r="B902" i="22"/>
  <c r="B903" i="22"/>
  <c r="B904" i="22"/>
  <c r="B905" i="22"/>
  <c r="B906" i="22"/>
  <c r="B907" i="22"/>
  <c r="B908" i="22"/>
  <c r="B909" i="22"/>
  <c r="B910" i="22"/>
  <c r="B911" i="22"/>
  <c r="B912" i="22"/>
  <c r="B913" i="22"/>
  <c r="B914" i="22"/>
  <c r="B915" i="22"/>
  <c r="B916" i="22"/>
  <c r="B917" i="22"/>
  <c r="B918" i="22"/>
  <c r="B919" i="22"/>
  <c r="B920" i="22"/>
  <c r="B921" i="22"/>
  <c r="B922" i="22"/>
  <c r="B923" i="22"/>
  <c r="B924" i="22"/>
  <c r="B925" i="22"/>
  <c r="B926" i="22"/>
  <c r="B927" i="22"/>
  <c r="B928" i="22"/>
  <c r="B929" i="22"/>
  <c r="B930" i="22"/>
  <c r="B931" i="22"/>
  <c r="B932" i="22"/>
  <c r="B933" i="22"/>
  <c r="B934" i="22"/>
  <c r="B935" i="22"/>
  <c r="B936" i="22"/>
  <c r="B937" i="22"/>
  <c r="B938" i="22"/>
  <c r="B939" i="22"/>
  <c r="B940" i="22"/>
  <c r="B941" i="22"/>
  <c r="B942" i="22"/>
  <c r="B943" i="22"/>
  <c r="B944" i="22"/>
  <c r="B945" i="22"/>
  <c r="B946" i="22"/>
  <c r="B947" i="22"/>
  <c r="B948" i="22"/>
  <c r="B949" i="22"/>
  <c r="B950" i="22"/>
  <c r="B951" i="22"/>
  <c r="B952" i="22"/>
  <c r="B953" i="22"/>
  <c r="B954" i="22"/>
  <c r="B955" i="22"/>
  <c r="B956" i="22"/>
  <c r="B957" i="22"/>
  <c r="B958" i="22"/>
  <c r="B959" i="22"/>
  <c r="B960" i="22"/>
  <c r="B961" i="22"/>
  <c r="B962" i="22"/>
  <c r="B963" i="22"/>
  <c r="B964" i="22"/>
  <c r="B965" i="22"/>
  <c r="B966" i="22"/>
  <c r="B967" i="22"/>
  <c r="B968" i="22"/>
  <c r="B969" i="22"/>
  <c r="B970" i="22"/>
  <c r="B971" i="22"/>
  <c r="B972" i="22"/>
  <c r="B973" i="22"/>
  <c r="B974" i="22"/>
  <c r="B975" i="22"/>
  <c r="B976" i="22"/>
  <c r="B977" i="22"/>
  <c r="B978" i="22"/>
  <c r="B979" i="22"/>
  <c r="B980" i="22"/>
  <c r="B981" i="22"/>
  <c r="B982" i="22"/>
  <c r="B983" i="22"/>
  <c r="B984" i="22"/>
  <c r="B985" i="22"/>
  <c r="B986" i="22"/>
  <c r="B987" i="22"/>
  <c r="B988" i="22"/>
  <c r="B989" i="22"/>
  <c r="B990" i="22"/>
  <c r="B991" i="22"/>
  <c r="B992" i="22"/>
  <c r="B993" i="22"/>
  <c r="B994" i="22"/>
  <c r="B995" i="22"/>
  <c r="B996" i="22"/>
  <c r="B997" i="22"/>
  <c r="B998" i="22"/>
  <c r="B999" i="22"/>
  <c r="B1000" i="22"/>
  <c r="B1001" i="22"/>
  <c r="B1002" i="22"/>
  <c r="B1003" i="22"/>
  <c r="B1004" i="22"/>
  <c r="B1005" i="22"/>
  <c r="B1006" i="22"/>
  <c r="B1007" i="22"/>
  <c r="B1008" i="22"/>
  <c r="B1009" i="22"/>
  <c r="B1010" i="22"/>
  <c r="B1011" i="22"/>
  <c r="B1012" i="22"/>
  <c r="B1013" i="22"/>
  <c r="B1014" i="22"/>
  <c r="B1015" i="22"/>
  <c r="B1016" i="22"/>
  <c r="B1017" i="22"/>
  <c r="B1018" i="22"/>
  <c r="B1019" i="22"/>
  <c r="B1020" i="22"/>
  <c r="B1021" i="22"/>
  <c r="B1022" i="22"/>
  <c r="B1023" i="22"/>
  <c r="B1024" i="22"/>
  <c r="B1025" i="22"/>
  <c r="B1026" i="22"/>
  <c r="B1027" i="22"/>
  <c r="B1028" i="22"/>
  <c r="B1029" i="22"/>
  <c r="B1030" i="22"/>
  <c r="B1031" i="22"/>
  <c r="B1032" i="22"/>
  <c r="B1033" i="22"/>
  <c r="B1034" i="22"/>
  <c r="B1035" i="22"/>
  <c r="B1036" i="22"/>
  <c r="B1037" i="22"/>
  <c r="B1038" i="22"/>
  <c r="B1039" i="22"/>
  <c r="B1040" i="22"/>
  <c r="B1041" i="22"/>
  <c r="B1042" i="22"/>
  <c r="B1043" i="22"/>
  <c r="B1044" i="22"/>
  <c r="B1045" i="22"/>
  <c r="B1046" i="22"/>
  <c r="B1047" i="22"/>
  <c r="B1048" i="22"/>
  <c r="B1049" i="22"/>
  <c r="B1050" i="22"/>
  <c r="B1051" i="22"/>
  <c r="B1052" i="22"/>
  <c r="B1053" i="22"/>
  <c r="B1054" i="22"/>
  <c r="B1055" i="22"/>
  <c r="B1056" i="22"/>
  <c r="B1057" i="22"/>
  <c r="B1058" i="22"/>
  <c r="B1059" i="22"/>
  <c r="B1060" i="22"/>
  <c r="B1061" i="22"/>
  <c r="B1062" i="22"/>
  <c r="B1063" i="22"/>
  <c r="B1064" i="22"/>
  <c r="B1065" i="22"/>
  <c r="B1066" i="22"/>
  <c r="B1067" i="22"/>
  <c r="B1068" i="22"/>
  <c r="B1069" i="22"/>
  <c r="B1070" i="22"/>
  <c r="B1071" i="22"/>
  <c r="B1072" i="22"/>
  <c r="B1073" i="22"/>
  <c r="B1074" i="22"/>
  <c r="B1075" i="22"/>
  <c r="B1076" i="22"/>
  <c r="B1077" i="22"/>
  <c r="B1078" i="22"/>
  <c r="B1079" i="22"/>
  <c r="B1080" i="22"/>
  <c r="B1081" i="22"/>
  <c r="B1082" i="22"/>
  <c r="B1083" i="22"/>
  <c r="B1084" i="22"/>
  <c r="B1085" i="22"/>
  <c r="B1086" i="22"/>
  <c r="B1087" i="22"/>
  <c r="B1088" i="22"/>
  <c r="B1089" i="22"/>
  <c r="B1090" i="22"/>
  <c r="B1091" i="22"/>
  <c r="B1092" i="22"/>
  <c r="B1093" i="22"/>
  <c r="B1094" i="22"/>
  <c r="B1095" i="22"/>
  <c r="B1096" i="22"/>
  <c r="B1097" i="22"/>
  <c r="B1098" i="22"/>
  <c r="B1099" i="22"/>
  <c r="B1100" i="22"/>
  <c r="B1101" i="22"/>
  <c r="B1102" i="22"/>
  <c r="B1103" i="22"/>
  <c r="B1104" i="22"/>
  <c r="B1105" i="22"/>
  <c r="B1106" i="22"/>
  <c r="B1107" i="22"/>
  <c r="B1108" i="22"/>
  <c r="B1109" i="22"/>
  <c r="B1110" i="22"/>
  <c r="B1111" i="22"/>
  <c r="B1112" i="22"/>
  <c r="B1113" i="22"/>
  <c r="B1114" i="22"/>
  <c r="B1115" i="22"/>
  <c r="B1116" i="22"/>
  <c r="B1117" i="22"/>
  <c r="B1118" i="22"/>
  <c r="B1119" i="22"/>
  <c r="B1120" i="22"/>
  <c r="B1121" i="22"/>
  <c r="B1122" i="22"/>
  <c r="B1123" i="22"/>
  <c r="B1124" i="22"/>
  <c r="B1125" i="22"/>
  <c r="B1126" i="22"/>
  <c r="B1127" i="22"/>
  <c r="B1128" i="22"/>
  <c r="B1129" i="22"/>
  <c r="B1130" i="22"/>
  <c r="B1131" i="22"/>
  <c r="B1132" i="22"/>
  <c r="B1133" i="22"/>
  <c r="B1134" i="22"/>
  <c r="B1135" i="22"/>
  <c r="B1136" i="22"/>
  <c r="B1137" i="22"/>
  <c r="B1138" i="22"/>
  <c r="B1139" i="22"/>
  <c r="B1140" i="22"/>
  <c r="B1141" i="22"/>
  <c r="B1142" i="22"/>
  <c r="B1143" i="22"/>
  <c r="B1144" i="22"/>
  <c r="B1145" i="22"/>
  <c r="B1146" i="22"/>
  <c r="B1147" i="22"/>
  <c r="B1148" i="22"/>
  <c r="B1149" i="22"/>
  <c r="B1150" i="22"/>
  <c r="B1151" i="22"/>
  <c r="B1152" i="22"/>
  <c r="B1153" i="22"/>
  <c r="B1154" i="22"/>
  <c r="B1155" i="22"/>
  <c r="B1156" i="22"/>
  <c r="B1157" i="22"/>
  <c r="B1158" i="22"/>
  <c r="B1159" i="22"/>
  <c r="B1160" i="22"/>
  <c r="B1161" i="22"/>
  <c r="B1162" i="22"/>
  <c r="B1163" i="22"/>
  <c r="B1164" i="22"/>
  <c r="B1165" i="22"/>
  <c r="B1166" i="22"/>
  <c r="B1167" i="22"/>
  <c r="B1168" i="22"/>
  <c r="B1169" i="22"/>
  <c r="B1170" i="22"/>
  <c r="B1171" i="22"/>
  <c r="B1172" i="22"/>
  <c r="B1173" i="22"/>
  <c r="B1174" i="22"/>
  <c r="B1175" i="22"/>
  <c r="B1176" i="22"/>
  <c r="B1177" i="22"/>
  <c r="B1178" i="22"/>
  <c r="B1179" i="22"/>
  <c r="B1180" i="22"/>
  <c r="B1181" i="22"/>
  <c r="B1182" i="22"/>
  <c r="B1183" i="22"/>
  <c r="B1184" i="22"/>
  <c r="B1185" i="22"/>
  <c r="B1186" i="22"/>
  <c r="B1187" i="22"/>
  <c r="B1188" i="22"/>
  <c r="B1189" i="22"/>
  <c r="B1190" i="22"/>
  <c r="B1191" i="22"/>
  <c r="B1192" i="22"/>
  <c r="B1193" i="22"/>
  <c r="B1194" i="22"/>
  <c r="B1195" i="22"/>
  <c r="B1196" i="22"/>
  <c r="B1197" i="22"/>
  <c r="B1198" i="22"/>
  <c r="B1199" i="22"/>
  <c r="B1200" i="22"/>
  <c r="B1201" i="22"/>
  <c r="B1202" i="22"/>
  <c r="B1203" i="22"/>
  <c r="B1204" i="22"/>
  <c r="B1205" i="22"/>
  <c r="B1206" i="22"/>
  <c r="B1207" i="22"/>
  <c r="B1208" i="22"/>
  <c r="B1209" i="22"/>
  <c r="B1210" i="22"/>
  <c r="B1211" i="22"/>
  <c r="B1212" i="22"/>
  <c r="B1213" i="22"/>
  <c r="B1214" i="22"/>
  <c r="B1215" i="22"/>
  <c r="B1216" i="22"/>
  <c r="B1217" i="22"/>
  <c r="B1218" i="22"/>
  <c r="B1219" i="22"/>
  <c r="B1220" i="22"/>
  <c r="B1221" i="22"/>
  <c r="B1222" i="22"/>
  <c r="B1223" i="22"/>
  <c r="B1224" i="22"/>
  <c r="B1225" i="22"/>
  <c r="B1226" i="22"/>
  <c r="B1227" i="22"/>
  <c r="B1228" i="22"/>
  <c r="B1229" i="22"/>
  <c r="B1230" i="22"/>
  <c r="B1231" i="22"/>
  <c r="B1232" i="22"/>
  <c r="B1233" i="22"/>
  <c r="B1234" i="22"/>
  <c r="B1235" i="22"/>
  <c r="B1236" i="22"/>
  <c r="B1237" i="22"/>
  <c r="B1238" i="22"/>
  <c r="B1239" i="22"/>
  <c r="B1240" i="22"/>
  <c r="B1241" i="22"/>
  <c r="B1242" i="22"/>
  <c r="B1243" i="22"/>
  <c r="B1244" i="22"/>
  <c r="B1245" i="22"/>
  <c r="B1246" i="22"/>
  <c r="B1247" i="22"/>
  <c r="B1248" i="22"/>
  <c r="B1249" i="22"/>
  <c r="B1250" i="22"/>
  <c r="B1251" i="22"/>
  <c r="B1252" i="22"/>
  <c r="B1253" i="22"/>
  <c r="B1254" i="22"/>
  <c r="B1255" i="22"/>
  <c r="B1256" i="22"/>
  <c r="B1257" i="22"/>
  <c r="B1258" i="22"/>
  <c r="B1259" i="22"/>
  <c r="B1260" i="22"/>
  <c r="B1261" i="22"/>
  <c r="B1262" i="22"/>
  <c r="B1263" i="22"/>
  <c r="B1264" i="22"/>
  <c r="B1265" i="22"/>
  <c r="B1266" i="22"/>
  <c r="B1267" i="22"/>
  <c r="B1268" i="22"/>
  <c r="B1269" i="22"/>
  <c r="B1270" i="22"/>
  <c r="B1271" i="22"/>
  <c r="B1272" i="22"/>
  <c r="B1273" i="22"/>
  <c r="B1274" i="22"/>
  <c r="B1275" i="22"/>
  <c r="B1276" i="22"/>
  <c r="B1277" i="22"/>
  <c r="B1278" i="22"/>
  <c r="B1279" i="22"/>
  <c r="B1280" i="22"/>
  <c r="B1281" i="22"/>
  <c r="B1282" i="22"/>
  <c r="B1283" i="22"/>
  <c r="B1284" i="22"/>
  <c r="B1285" i="22"/>
  <c r="B1286" i="22"/>
  <c r="B1287" i="22"/>
  <c r="B1288" i="22"/>
  <c r="B1289" i="22"/>
  <c r="B1290" i="22"/>
  <c r="B1291" i="22"/>
  <c r="B1292" i="22"/>
  <c r="B1293" i="22"/>
  <c r="B1294" i="22"/>
  <c r="B1295" i="22"/>
  <c r="B1296" i="22"/>
  <c r="B1297" i="22"/>
  <c r="B1298" i="22"/>
  <c r="B1299" i="22"/>
  <c r="B1300" i="22"/>
  <c r="B1301" i="22"/>
  <c r="B1302" i="22"/>
  <c r="B1303" i="22"/>
  <c r="B1304" i="22"/>
  <c r="B1305" i="22"/>
  <c r="B1306" i="22"/>
  <c r="B1307" i="22"/>
  <c r="B1308" i="22"/>
  <c r="B1309" i="22"/>
  <c r="B1310" i="22"/>
  <c r="B1311" i="22"/>
  <c r="B1312" i="22"/>
  <c r="B1313" i="22"/>
  <c r="B1314" i="22"/>
  <c r="B1315" i="22"/>
  <c r="B1316" i="22"/>
  <c r="B1317" i="22"/>
  <c r="B1318" i="22"/>
  <c r="B1319" i="22"/>
  <c r="B1320" i="22"/>
  <c r="B1321" i="22"/>
  <c r="B1322" i="22"/>
  <c r="B1323" i="22"/>
  <c r="B1324" i="22"/>
  <c r="B1325" i="22"/>
  <c r="B1326" i="22"/>
  <c r="B1327" i="22"/>
  <c r="B1328" i="22"/>
  <c r="B1329" i="22"/>
  <c r="B1330" i="22"/>
  <c r="B1331" i="22"/>
  <c r="B1332" i="22"/>
  <c r="B1333" i="22"/>
  <c r="B1334" i="22"/>
  <c r="B1335" i="22"/>
  <c r="B1336" i="22"/>
  <c r="B1337" i="22"/>
  <c r="B1338" i="22"/>
  <c r="B1339" i="22"/>
  <c r="B1340" i="22"/>
  <c r="B1341" i="22"/>
  <c r="B1342" i="22"/>
  <c r="B1343" i="22"/>
  <c r="B1344" i="22"/>
  <c r="B1345" i="22"/>
  <c r="B1346" i="22"/>
  <c r="B1347" i="22"/>
  <c r="B1348" i="22"/>
  <c r="B1349" i="22"/>
  <c r="B1350" i="22"/>
  <c r="B1351" i="22"/>
  <c r="B1352" i="22"/>
  <c r="B1353" i="22"/>
  <c r="B1354" i="22"/>
  <c r="B1355" i="22"/>
  <c r="B1356" i="22"/>
  <c r="B1357" i="22"/>
  <c r="B1358" i="22"/>
  <c r="B1359" i="22"/>
  <c r="B1360" i="22"/>
  <c r="B1361" i="22"/>
  <c r="B1362" i="22"/>
  <c r="B1363" i="22"/>
  <c r="B1364" i="22"/>
  <c r="B1365" i="22"/>
  <c r="B1366" i="22"/>
  <c r="B1367" i="22"/>
  <c r="B1368" i="22"/>
  <c r="B1369" i="22"/>
  <c r="B1370" i="22"/>
  <c r="B1371" i="22"/>
  <c r="B1372" i="22"/>
  <c r="B1373" i="22"/>
  <c r="B1374" i="22"/>
  <c r="B1375" i="22"/>
  <c r="B1376" i="22"/>
  <c r="B1377" i="22"/>
  <c r="B1378" i="22"/>
  <c r="B1379" i="22"/>
  <c r="B1380" i="22"/>
  <c r="B1381" i="22"/>
  <c r="B1382" i="22"/>
  <c r="B1383" i="22"/>
  <c r="B1384" i="22"/>
  <c r="B1385" i="22"/>
  <c r="B1386" i="22"/>
  <c r="B1387" i="22"/>
  <c r="B1388" i="22"/>
  <c r="B1389" i="22"/>
  <c r="B1390" i="22"/>
  <c r="B1391" i="22"/>
  <c r="B1392" i="22"/>
  <c r="B1393" i="22"/>
  <c r="B1394" i="22"/>
  <c r="B1395" i="22"/>
  <c r="B1396" i="22"/>
  <c r="B1397" i="22"/>
  <c r="B1398" i="22"/>
  <c r="B1399" i="22"/>
  <c r="B1400" i="22"/>
  <c r="B1401" i="22"/>
  <c r="B1402" i="22"/>
  <c r="B1403" i="22"/>
  <c r="B1404" i="22"/>
  <c r="B1405" i="22"/>
  <c r="B1406" i="22"/>
  <c r="B1407" i="22"/>
  <c r="B1408" i="22"/>
  <c r="B1409" i="22"/>
  <c r="B1410" i="22"/>
  <c r="B1411" i="22"/>
  <c r="B1412" i="22"/>
  <c r="B1413" i="22"/>
  <c r="B1414" i="22"/>
  <c r="B1415" i="22"/>
  <c r="B1416" i="22"/>
  <c r="B1417" i="22"/>
  <c r="B1418" i="22"/>
  <c r="B1419" i="22"/>
  <c r="B1420" i="22"/>
  <c r="B1421" i="22"/>
  <c r="B1422" i="22"/>
  <c r="B1423" i="22"/>
  <c r="B1424" i="22"/>
  <c r="B1425" i="22"/>
  <c r="B1426" i="22"/>
  <c r="B1427" i="22"/>
  <c r="B1428" i="22"/>
  <c r="B1429" i="22"/>
  <c r="B1430" i="22"/>
  <c r="B1431" i="22"/>
  <c r="B1432" i="22"/>
  <c r="B1433" i="22"/>
  <c r="B1434" i="22"/>
  <c r="B1435" i="22"/>
  <c r="B1436" i="22"/>
  <c r="B1437" i="22"/>
  <c r="B1438" i="22"/>
  <c r="B1439" i="22"/>
  <c r="B1440" i="22"/>
  <c r="B1441" i="22"/>
  <c r="B1442" i="22"/>
  <c r="B1443" i="22"/>
  <c r="B1444" i="22"/>
  <c r="B1445" i="22"/>
  <c r="B1446" i="22"/>
  <c r="B1447" i="22"/>
  <c r="B1448" i="22"/>
  <c r="B1449" i="22"/>
  <c r="B1450" i="22"/>
  <c r="B1451" i="22"/>
  <c r="B1452" i="22"/>
  <c r="B1453" i="22"/>
  <c r="B1454" i="22"/>
  <c r="B1455" i="22"/>
  <c r="B1456" i="22"/>
  <c r="B1457" i="22"/>
  <c r="B1458" i="22"/>
  <c r="B1459" i="22"/>
  <c r="B1460" i="22"/>
  <c r="B1461" i="22"/>
  <c r="B1462" i="22"/>
  <c r="B1463" i="22"/>
  <c r="B1464" i="22"/>
  <c r="B1465" i="22"/>
  <c r="B1466" i="22"/>
  <c r="B1467" i="22"/>
  <c r="B1468" i="22"/>
  <c r="B1469" i="22"/>
  <c r="B1470" i="22"/>
  <c r="B1471" i="22"/>
  <c r="B1472" i="22"/>
  <c r="B1473" i="22"/>
  <c r="B1474" i="22"/>
  <c r="B1475" i="22"/>
  <c r="B1476" i="22"/>
  <c r="B1477" i="22"/>
  <c r="B1478" i="22"/>
  <c r="B1479" i="22"/>
  <c r="B1480" i="22"/>
  <c r="B1481" i="22"/>
  <c r="B1482" i="22"/>
  <c r="B1483" i="22"/>
  <c r="B1484" i="22"/>
  <c r="B1485" i="22"/>
  <c r="B1486" i="22"/>
  <c r="B1487" i="22"/>
  <c r="B1488" i="22"/>
  <c r="B1489" i="22"/>
  <c r="B1490" i="22"/>
  <c r="B1491" i="22"/>
  <c r="B1492" i="22"/>
  <c r="B1493" i="22"/>
  <c r="B1494" i="22"/>
  <c r="B1495" i="22"/>
  <c r="B1496" i="22"/>
  <c r="B1497" i="22"/>
  <c r="B1498" i="22"/>
  <c r="B1499" i="22"/>
  <c r="B1500" i="22"/>
  <c r="B1501" i="22"/>
  <c r="B1502" i="22"/>
  <c r="B1503" i="22"/>
  <c r="B1504" i="22"/>
  <c r="B1505" i="22"/>
  <c r="B1506" i="22"/>
  <c r="B1507" i="22"/>
  <c r="B1508" i="22"/>
  <c r="B1509" i="22"/>
  <c r="B1510" i="22"/>
  <c r="B1511" i="22"/>
  <c r="B1512" i="22"/>
  <c r="B1513" i="22"/>
  <c r="B1514" i="22"/>
  <c r="B1515" i="22"/>
  <c r="B1516" i="22"/>
  <c r="B1517" i="22"/>
  <c r="B1518" i="22"/>
  <c r="B1519" i="22"/>
  <c r="B1520" i="22"/>
  <c r="B1521" i="22"/>
  <c r="B1522" i="22"/>
  <c r="B1523" i="22"/>
  <c r="B1524" i="22"/>
  <c r="B1525" i="22"/>
  <c r="B1526" i="22"/>
  <c r="B1527" i="22"/>
  <c r="B1528" i="22"/>
  <c r="B1529" i="22"/>
  <c r="B1530" i="22"/>
  <c r="B1531" i="22"/>
  <c r="B1532" i="22"/>
  <c r="B1533" i="22"/>
  <c r="B1534" i="22"/>
  <c r="B1535" i="22"/>
  <c r="B1536" i="22"/>
  <c r="B1537" i="22"/>
  <c r="B1538" i="22"/>
  <c r="B1539" i="22"/>
  <c r="B1540" i="22"/>
  <c r="B1541" i="22"/>
  <c r="B1542" i="22"/>
  <c r="B1543" i="22"/>
  <c r="B1544" i="22"/>
  <c r="B1545" i="22"/>
  <c r="B1546" i="22"/>
  <c r="B1547" i="22"/>
  <c r="B1548" i="22"/>
  <c r="B1549" i="22"/>
  <c r="B1550" i="22"/>
  <c r="B1551" i="22"/>
  <c r="B1552" i="22"/>
  <c r="B1553" i="22"/>
  <c r="B1554" i="22"/>
  <c r="B1555" i="22"/>
  <c r="B1556" i="22"/>
  <c r="B1557" i="22"/>
  <c r="B1558" i="22"/>
  <c r="B1559" i="22"/>
  <c r="B1560" i="22"/>
  <c r="B1561" i="22"/>
  <c r="B1562" i="22"/>
  <c r="B1563" i="22"/>
  <c r="B1564" i="22"/>
  <c r="B1565" i="22"/>
  <c r="B1566" i="22"/>
  <c r="B1567" i="22"/>
  <c r="B1568" i="22"/>
  <c r="B1569" i="22"/>
  <c r="B1570" i="22"/>
  <c r="B1571" i="22"/>
  <c r="B1572" i="22"/>
  <c r="B1573" i="22"/>
  <c r="B1574" i="22"/>
  <c r="B1575" i="22"/>
  <c r="B1576" i="22"/>
  <c r="B1577" i="22"/>
  <c r="B1578" i="22"/>
  <c r="B1579" i="22"/>
  <c r="B1580" i="22"/>
  <c r="B1581" i="22"/>
  <c r="B1582" i="22"/>
  <c r="B1583" i="22"/>
  <c r="B1584" i="22"/>
  <c r="B1585" i="22"/>
  <c r="B1586" i="22"/>
  <c r="B1587" i="22"/>
  <c r="B1588" i="22"/>
  <c r="B1589" i="22"/>
  <c r="B1590" i="22"/>
  <c r="B1591" i="22"/>
  <c r="B1592" i="22"/>
  <c r="B1593" i="22"/>
  <c r="B1594" i="22"/>
  <c r="B1595" i="22"/>
  <c r="B1596" i="22"/>
  <c r="B1597" i="22"/>
  <c r="B1598" i="22"/>
  <c r="B1599" i="22"/>
  <c r="B1600" i="22"/>
  <c r="B1601" i="22"/>
  <c r="B1602" i="22"/>
  <c r="B1603" i="22"/>
  <c r="B1604" i="22"/>
  <c r="B1605" i="22"/>
  <c r="B1606" i="22"/>
  <c r="B1607" i="22"/>
  <c r="B1608" i="22"/>
  <c r="B1609" i="22"/>
  <c r="B1610" i="22"/>
  <c r="B1611" i="22"/>
  <c r="B1612" i="22"/>
  <c r="B1613" i="22"/>
  <c r="B1614" i="22"/>
  <c r="B1615" i="22"/>
  <c r="B1616" i="22"/>
  <c r="B1617" i="22"/>
  <c r="B1618" i="22"/>
  <c r="B1619" i="22"/>
  <c r="B1620" i="22"/>
  <c r="B1621" i="22"/>
  <c r="B1622" i="22"/>
  <c r="B1623" i="22"/>
  <c r="B1624" i="22"/>
  <c r="B1625" i="22"/>
  <c r="B1626" i="22"/>
  <c r="B1627" i="22"/>
  <c r="B1628" i="22"/>
  <c r="B1629" i="22"/>
  <c r="B1630" i="22"/>
  <c r="B1631" i="22"/>
  <c r="B1632" i="22"/>
  <c r="B1633" i="22"/>
  <c r="B1634" i="22"/>
  <c r="B1635" i="22"/>
  <c r="B1636" i="22"/>
  <c r="B1637" i="22"/>
  <c r="B1638" i="22"/>
  <c r="B1639" i="22"/>
  <c r="B1640" i="22"/>
  <c r="B1641" i="22"/>
  <c r="B1642" i="22"/>
  <c r="B1643" i="22"/>
  <c r="B1644" i="22"/>
  <c r="B1645" i="22"/>
  <c r="B1646" i="22"/>
  <c r="B1647" i="22"/>
  <c r="B1648" i="22"/>
  <c r="B1649" i="22"/>
  <c r="B1650" i="22"/>
  <c r="B1651" i="22"/>
  <c r="B1652" i="22"/>
  <c r="B1653" i="22"/>
  <c r="B1654" i="22"/>
  <c r="B1655" i="22"/>
  <c r="B1656" i="22"/>
  <c r="B1657" i="22"/>
  <c r="B1658" i="22"/>
  <c r="B1659" i="22"/>
  <c r="B1660" i="22"/>
  <c r="B1661" i="22"/>
  <c r="B1662" i="22"/>
  <c r="B1663" i="22"/>
  <c r="B1664" i="22"/>
  <c r="B1665" i="22"/>
  <c r="B1666" i="22"/>
  <c r="B1667" i="22"/>
  <c r="B1668" i="22"/>
  <c r="B1669" i="22"/>
  <c r="B1670" i="22"/>
  <c r="B1671" i="22"/>
  <c r="B1672" i="22"/>
  <c r="B1673" i="22"/>
  <c r="B1674" i="22"/>
  <c r="B1675" i="22"/>
  <c r="B1676" i="22"/>
  <c r="B1677" i="22"/>
  <c r="B1678" i="22"/>
  <c r="B1679" i="22"/>
  <c r="B1680" i="22"/>
  <c r="B1681" i="22"/>
  <c r="B1682" i="22"/>
  <c r="B1683" i="22"/>
  <c r="B1684" i="22"/>
  <c r="B1685" i="22"/>
  <c r="B1686" i="22"/>
  <c r="B1687" i="22"/>
  <c r="B1688" i="22"/>
  <c r="B1689" i="22"/>
  <c r="B1690" i="22"/>
  <c r="B1691" i="22"/>
  <c r="B1692" i="22"/>
  <c r="B1693" i="22"/>
  <c r="B1694" i="22"/>
  <c r="B1695" i="22"/>
  <c r="B1696" i="22"/>
  <c r="B1697" i="22"/>
  <c r="B1698" i="22"/>
  <c r="B1699" i="22"/>
  <c r="B1700" i="22"/>
  <c r="B1701" i="22"/>
  <c r="B1702" i="22"/>
  <c r="B1703" i="22"/>
  <c r="B1704" i="22"/>
  <c r="B1705" i="22"/>
  <c r="B1706" i="22"/>
  <c r="B1707" i="22"/>
  <c r="B1708" i="22"/>
  <c r="B1709" i="22"/>
  <c r="B1710" i="22"/>
  <c r="B1711" i="22"/>
  <c r="B1712" i="22"/>
  <c r="B1713" i="22"/>
  <c r="B1714" i="22"/>
  <c r="B1715" i="22"/>
  <c r="B1716" i="22"/>
  <c r="B1717" i="22"/>
  <c r="B1718" i="22"/>
  <c r="B1719" i="22"/>
  <c r="B1720" i="22"/>
  <c r="B1721" i="22"/>
  <c r="B1722" i="22"/>
  <c r="B1723" i="22"/>
  <c r="B1724" i="22"/>
  <c r="B1725" i="22"/>
  <c r="B1726" i="22"/>
  <c r="B1727" i="22"/>
  <c r="B1728" i="22"/>
  <c r="B1729" i="22"/>
  <c r="B1730" i="22"/>
  <c r="B1731" i="22"/>
  <c r="B1732" i="22"/>
  <c r="B1733" i="22"/>
  <c r="B1734" i="22"/>
  <c r="B1735" i="22"/>
  <c r="B1736" i="22"/>
  <c r="B1737" i="22"/>
  <c r="B1738" i="22"/>
  <c r="B1739" i="22"/>
  <c r="B1740" i="22"/>
  <c r="B1741" i="22"/>
  <c r="B1742" i="22"/>
  <c r="B1743" i="22"/>
  <c r="B1744" i="22"/>
  <c r="B1745" i="22"/>
  <c r="B1746" i="22"/>
  <c r="B1747" i="22"/>
  <c r="B1748" i="22"/>
  <c r="B1749" i="22"/>
  <c r="B1750" i="22"/>
  <c r="B1751" i="22"/>
  <c r="B1752" i="22"/>
  <c r="B1753" i="22"/>
  <c r="B1754" i="22"/>
  <c r="B1755" i="22"/>
  <c r="B1756" i="22"/>
  <c r="B1757" i="22"/>
  <c r="B1758" i="22"/>
  <c r="B1759" i="22"/>
  <c r="B1760" i="22"/>
  <c r="B1761" i="22"/>
  <c r="B1762" i="22"/>
  <c r="B1763" i="22"/>
  <c r="B1764" i="22"/>
  <c r="B1765" i="22"/>
  <c r="B1766" i="22"/>
  <c r="B1767" i="22"/>
  <c r="B1768" i="22"/>
  <c r="B1769" i="22"/>
  <c r="B1770" i="22"/>
  <c r="B1771" i="22"/>
  <c r="B1772" i="22"/>
  <c r="B1773" i="22"/>
  <c r="B1774" i="22"/>
  <c r="B1775" i="22"/>
  <c r="B1776" i="22"/>
  <c r="B1777" i="22"/>
  <c r="B1778" i="22"/>
  <c r="B1779" i="22"/>
  <c r="B1780" i="22"/>
  <c r="B1781" i="22"/>
  <c r="B1782" i="22"/>
  <c r="B1783" i="22"/>
  <c r="B1784" i="22"/>
  <c r="B1785" i="22"/>
  <c r="B1786" i="22"/>
  <c r="B1787" i="22"/>
  <c r="B1788" i="22"/>
  <c r="B1789" i="22"/>
  <c r="B1790" i="22"/>
  <c r="B1791" i="22"/>
  <c r="B1792" i="22"/>
  <c r="B1793" i="22"/>
  <c r="B1794" i="22"/>
  <c r="B1795" i="22"/>
  <c r="B1796" i="22"/>
  <c r="B1797" i="22"/>
  <c r="B1798" i="22"/>
  <c r="B1799" i="22"/>
  <c r="B1800" i="22"/>
  <c r="B1801" i="22"/>
  <c r="B1802" i="22"/>
  <c r="B1803" i="22"/>
  <c r="B1804" i="22"/>
  <c r="B1805" i="22"/>
  <c r="B1806" i="22"/>
  <c r="B1807" i="22"/>
  <c r="B1808" i="22"/>
  <c r="B1809" i="22"/>
  <c r="B1810" i="22"/>
  <c r="B1811" i="22"/>
  <c r="B1812" i="22"/>
  <c r="B1813" i="22"/>
  <c r="B1814" i="22"/>
  <c r="B1815" i="22"/>
  <c r="B1816" i="22"/>
  <c r="B1817" i="22"/>
  <c r="B1818" i="22"/>
  <c r="B1819" i="22"/>
  <c r="B1820" i="22"/>
  <c r="B1821" i="22"/>
  <c r="B1822" i="22"/>
  <c r="B1823" i="22"/>
  <c r="B1824" i="22"/>
  <c r="B1825" i="22"/>
  <c r="B1826" i="22"/>
  <c r="B1827" i="22"/>
  <c r="B1828" i="22"/>
  <c r="B1829" i="22"/>
  <c r="B1830" i="22"/>
  <c r="B1831" i="22"/>
  <c r="B1832" i="22"/>
  <c r="B1833" i="22"/>
  <c r="B1834" i="22"/>
  <c r="B1835" i="22"/>
  <c r="B1836" i="22"/>
  <c r="B1837" i="22"/>
  <c r="B1838" i="22"/>
  <c r="B1839" i="22"/>
  <c r="B1840" i="22"/>
  <c r="B1841" i="22"/>
  <c r="B1842" i="22"/>
  <c r="B1843" i="22"/>
  <c r="B1844" i="22"/>
  <c r="B1845" i="22"/>
  <c r="B1846" i="22"/>
  <c r="B1847" i="22"/>
  <c r="B1848" i="22"/>
  <c r="B1849" i="22"/>
  <c r="B1850" i="22"/>
  <c r="B1851" i="22"/>
  <c r="B1852" i="22"/>
  <c r="B1853" i="22"/>
  <c r="B1854" i="22"/>
  <c r="B1855" i="22"/>
  <c r="B1856" i="22"/>
  <c r="B1857" i="22"/>
  <c r="B1858" i="22"/>
  <c r="B1859" i="22"/>
  <c r="B1860" i="22"/>
  <c r="B1861" i="22"/>
  <c r="B1862" i="22"/>
  <c r="B1863" i="22"/>
  <c r="B1864" i="22"/>
  <c r="B1865" i="22"/>
  <c r="B1866" i="22"/>
  <c r="B1867" i="22"/>
  <c r="B1868" i="22"/>
  <c r="B1869" i="22"/>
  <c r="B1870" i="22"/>
  <c r="B1871" i="22"/>
  <c r="B1872" i="22"/>
  <c r="B1873" i="22"/>
  <c r="B1874" i="22"/>
  <c r="B1875" i="22"/>
  <c r="B1876" i="22"/>
  <c r="B1877" i="22"/>
  <c r="B1878" i="22"/>
  <c r="B1879" i="22"/>
  <c r="B1880" i="22"/>
  <c r="B1881" i="22"/>
  <c r="B1882" i="22"/>
  <c r="B1883" i="22"/>
  <c r="B1884" i="22"/>
  <c r="B1885" i="22"/>
  <c r="B1886" i="22"/>
  <c r="B1887" i="22"/>
  <c r="B1888" i="22"/>
  <c r="B1889" i="22"/>
  <c r="B1890" i="22"/>
  <c r="B1891" i="22"/>
  <c r="B1892" i="22"/>
  <c r="B1893" i="22"/>
  <c r="B1894" i="22"/>
  <c r="B1895" i="22"/>
  <c r="B1896" i="22"/>
  <c r="B1897" i="22"/>
  <c r="B1898" i="22"/>
  <c r="B1899" i="22"/>
  <c r="B1900" i="22"/>
  <c r="B1901" i="22"/>
  <c r="B1902" i="22"/>
  <c r="B1903" i="22"/>
  <c r="B1904" i="22"/>
  <c r="B1905" i="22"/>
  <c r="B1906" i="22"/>
  <c r="B1907" i="22"/>
  <c r="B1908" i="22"/>
  <c r="B1909" i="22"/>
  <c r="B1910" i="22"/>
  <c r="B1911" i="22"/>
  <c r="B1912" i="22"/>
  <c r="B1913" i="22"/>
  <c r="B1914" i="22"/>
  <c r="B1915" i="22"/>
  <c r="B1916" i="22"/>
  <c r="B1917" i="22"/>
  <c r="B1918" i="22"/>
  <c r="B1919" i="22"/>
  <c r="B1920" i="22"/>
  <c r="B1921" i="22"/>
  <c r="B1922" i="22"/>
  <c r="B1923" i="22"/>
  <c r="B1924" i="22"/>
  <c r="B1925" i="22"/>
  <c r="B1926" i="22"/>
  <c r="B1927" i="22"/>
  <c r="B1928" i="22"/>
  <c r="B1929" i="22"/>
  <c r="B1930" i="22"/>
  <c r="B1931" i="22"/>
  <c r="B1932" i="22"/>
  <c r="B1933" i="22"/>
  <c r="B1934" i="22"/>
  <c r="B1935" i="22"/>
  <c r="B1936" i="22"/>
  <c r="B1937" i="22"/>
  <c r="B1938" i="22"/>
  <c r="B1939" i="22"/>
  <c r="B1940" i="22"/>
  <c r="B1941" i="22"/>
  <c r="B1942" i="22"/>
  <c r="B1943" i="22"/>
  <c r="B1944" i="22"/>
  <c r="B1945" i="22"/>
  <c r="B1946" i="22"/>
  <c r="B1947" i="22"/>
  <c r="B1948" i="22"/>
  <c r="B1949" i="22"/>
  <c r="B1950" i="22"/>
  <c r="B1951" i="22"/>
  <c r="B1952" i="22"/>
  <c r="B1953" i="22"/>
  <c r="B1954" i="22"/>
  <c r="B1955" i="22"/>
  <c r="B1956" i="22"/>
  <c r="B1957" i="22"/>
  <c r="B1958" i="22"/>
  <c r="B1959" i="22"/>
  <c r="B1960" i="22"/>
  <c r="B1961" i="22"/>
  <c r="B1962" i="22"/>
  <c r="B1963" i="22"/>
  <c r="B1964" i="22"/>
  <c r="B1965" i="22"/>
  <c r="B1966" i="22"/>
  <c r="B1967" i="22"/>
  <c r="B1968" i="22"/>
  <c r="B1969" i="22"/>
  <c r="B1970" i="22"/>
  <c r="B1971" i="22"/>
  <c r="B1972" i="22"/>
  <c r="B1973" i="22"/>
  <c r="B1974" i="22"/>
  <c r="B1975" i="22"/>
  <c r="B1976" i="22"/>
  <c r="B1977" i="22"/>
  <c r="B1978" i="22"/>
  <c r="B1979" i="22"/>
  <c r="B1980" i="22"/>
  <c r="B1981" i="22"/>
  <c r="B1982" i="22"/>
  <c r="B1983" i="22"/>
  <c r="B1984" i="22"/>
  <c r="B1985" i="22"/>
  <c r="B1986" i="22"/>
  <c r="B1987" i="22"/>
  <c r="B1988" i="22"/>
  <c r="B1989" i="22"/>
  <c r="B1990" i="22"/>
  <c r="B1991" i="22"/>
  <c r="B1992" i="22"/>
  <c r="B1993" i="22"/>
  <c r="B1994" i="22"/>
  <c r="B1995" i="22"/>
  <c r="B1996" i="22"/>
  <c r="B1997" i="22"/>
  <c r="B1998" i="22"/>
  <c r="B1999" i="22"/>
  <c r="B2000" i="22"/>
  <c r="B2001" i="22"/>
  <c r="B2002" i="22"/>
  <c r="B2003" i="22"/>
  <c r="B2004" i="22"/>
  <c r="B2005" i="22"/>
  <c r="B2006" i="22"/>
  <c r="B2007" i="22"/>
  <c r="B2008" i="22"/>
  <c r="B2009" i="22"/>
  <c r="B2010" i="22"/>
  <c r="B2011" i="22"/>
  <c r="B2012" i="22"/>
  <c r="B2013" i="22"/>
  <c r="B2014" i="22"/>
  <c r="B2015" i="22"/>
  <c r="B2016" i="22"/>
  <c r="B2017" i="22"/>
  <c r="B2018" i="22"/>
  <c r="B2019" i="22"/>
  <c r="B2020" i="22"/>
  <c r="B2021" i="22"/>
  <c r="B2022" i="22"/>
  <c r="B2023" i="22"/>
  <c r="B2024" i="22"/>
  <c r="B2025" i="22"/>
  <c r="B2026" i="22"/>
  <c r="B2027" i="22"/>
  <c r="B2028" i="22"/>
  <c r="B2029" i="22"/>
  <c r="B2030" i="22"/>
  <c r="B2031" i="22"/>
  <c r="B2032" i="22"/>
  <c r="B2033" i="22"/>
  <c r="B2034" i="22"/>
  <c r="B2035" i="22"/>
  <c r="B2036" i="22"/>
  <c r="B2037" i="22"/>
  <c r="B2038" i="22"/>
  <c r="B2039" i="22"/>
  <c r="B2040" i="22"/>
  <c r="B2041" i="22"/>
  <c r="B2042" i="22"/>
  <c r="B2043" i="22"/>
  <c r="B2044" i="22"/>
  <c r="B2045" i="22"/>
  <c r="B2046" i="22"/>
  <c r="B2047" i="22"/>
  <c r="B2048" i="22"/>
  <c r="B2049" i="22"/>
  <c r="B2050" i="22"/>
  <c r="B2051" i="22"/>
  <c r="B2052" i="22"/>
  <c r="B2053" i="22"/>
  <c r="B2054" i="22"/>
  <c r="B2055" i="22"/>
  <c r="B2056" i="22"/>
  <c r="B2057" i="22"/>
  <c r="B2058" i="22"/>
  <c r="B2059" i="22"/>
  <c r="B2060" i="22"/>
  <c r="B2061" i="22"/>
  <c r="B2062" i="22"/>
  <c r="B2063" i="22"/>
  <c r="B2064" i="22"/>
  <c r="B2065" i="22"/>
  <c r="B2066" i="22"/>
  <c r="B2067" i="22"/>
  <c r="B2068" i="22"/>
  <c r="B2069" i="22"/>
  <c r="B2070" i="22"/>
  <c r="B2071" i="22"/>
  <c r="B2072" i="22"/>
  <c r="B2073" i="22"/>
  <c r="B2074" i="22"/>
  <c r="B2075" i="22"/>
  <c r="B2076" i="22"/>
  <c r="B2077" i="22"/>
  <c r="B2078" i="22"/>
  <c r="B2079" i="22"/>
  <c r="B2080" i="22"/>
  <c r="B2081" i="22"/>
  <c r="B2082" i="22"/>
  <c r="B2083" i="22"/>
  <c r="B2084" i="22"/>
  <c r="B2085" i="22"/>
  <c r="B2086" i="22"/>
  <c r="B2087" i="22"/>
  <c r="B2088" i="22"/>
  <c r="B2089" i="22"/>
  <c r="B2090" i="22"/>
  <c r="B2091" i="22"/>
  <c r="B2092" i="22"/>
  <c r="B2093" i="22"/>
  <c r="B2094" i="22"/>
  <c r="B2095" i="22"/>
  <c r="B2096" i="22"/>
  <c r="B2097" i="22"/>
  <c r="B2098" i="22"/>
  <c r="B2099" i="22"/>
  <c r="B2100" i="22"/>
  <c r="B2101" i="22"/>
  <c r="B2102" i="22"/>
  <c r="B2103" i="22"/>
  <c r="B2104" i="22"/>
  <c r="B2105" i="22"/>
  <c r="B2106" i="22"/>
  <c r="B2107" i="22"/>
  <c r="B2108" i="22"/>
  <c r="B2109" i="22"/>
  <c r="B2110" i="22"/>
  <c r="B2111" i="22"/>
  <c r="B2112" i="22"/>
  <c r="B2113" i="22"/>
  <c r="B2114" i="22"/>
  <c r="B2115" i="22"/>
  <c r="B2116" i="22"/>
  <c r="B2117" i="22"/>
  <c r="B2118" i="22"/>
  <c r="B2119" i="22"/>
  <c r="B2120" i="22"/>
  <c r="B2121" i="22"/>
  <c r="B2122" i="22"/>
  <c r="B2123" i="22"/>
  <c r="B2124" i="22"/>
  <c r="B2125" i="22"/>
  <c r="B2126" i="22"/>
  <c r="B2127" i="22"/>
  <c r="B2128" i="22"/>
  <c r="B2129" i="22"/>
  <c r="B2130" i="22"/>
  <c r="B2131" i="22"/>
  <c r="B2132" i="22"/>
  <c r="B2133" i="22"/>
  <c r="B2134" i="22"/>
  <c r="B2135" i="22"/>
  <c r="B2136" i="22"/>
  <c r="B2137" i="22"/>
  <c r="B2138" i="22"/>
  <c r="B2139" i="22"/>
  <c r="B2140" i="22"/>
  <c r="B2141" i="22"/>
  <c r="B2142" i="22"/>
  <c r="B2143" i="22"/>
  <c r="B2144" i="22"/>
  <c r="B2145" i="22"/>
  <c r="B2146" i="22"/>
  <c r="B2147" i="22"/>
  <c r="B2148" i="22"/>
  <c r="B2149" i="22"/>
  <c r="B2150" i="22"/>
  <c r="B2151" i="22"/>
  <c r="B2152" i="22"/>
  <c r="B2153" i="22"/>
  <c r="B2154" i="22"/>
  <c r="B2155" i="22"/>
  <c r="B2156" i="22"/>
  <c r="B2157" i="22"/>
  <c r="B2158" i="22"/>
  <c r="B2159" i="22"/>
  <c r="B2160" i="22"/>
  <c r="B2161" i="22"/>
  <c r="B2162" i="22"/>
  <c r="B2163" i="22"/>
  <c r="B2164" i="22"/>
  <c r="B2165" i="22"/>
  <c r="B2166" i="22"/>
  <c r="B2167" i="22"/>
  <c r="B2168" i="22"/>
  <c r="B2169" i="22"/>
  <c r="B2170" i="22"/>
  <c r="B2171" i="22"/>
  <c r="B2172" i="22"/>
  <c r="B2173" i="22"/>
  <c r="B2174" i="22"/>
  <c r="B2175" i="22"/>
  <c r="B2176" i="22"/>
  <c r="B2177" i="22"/>
  <c r="B2178" i="22"/>
  <c r="B2179" i="22"/>
  <c r="D22" i="15"/>
  <c r="E22" i="15"/>
  <c r="F22" i="15"/>
  <c r="G22" i="15"/>
  <c r="H22" i="15"/>
  <c r="I22" i="15"/>
  <c r="J22" i="15"/>
  <c r="K22" i="15"/>
  <c r="L22" i="15"/>
  <c r="M22" i="15"/>
  <c r="N22" i="15"/>
  <c r="C22" i="15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64" i="22"/>
  <c r="B5" i="22"/>
  <c r="H26" i="15" l="1"/>
  <c r="J26" i="15"/>
  <c r="I26" i="15"/>
  <c r="K26" i="15"/>
  <c r="C26" i="15"/>
  <c r="G26" i="15"/>
  <c r="E26" i="15"/>
  <c r="L26" i="15"/>
  <c r="D26" i="15"/>
  <c r="F26" i="15"/>
  <c r="M26" i="15"/>
  <c r="N26" i="15"/>
  <c r="D10" i="14" l="1"/>
  <c r="E10" i="14"/>
  <c r="F10" i="14"/>
  <c r="G10" i="14"/>
  <c r="H10" i="14"/>
  <c r="I10" i="14"/>
  <c r="J10" i="14"/>
  <c r="K10" i="14"/>
  <c r="L10" i="14"/>
  <c r="M10" i="14"/>
  <c r="N10" i="14"/>
  <c r="C10" i="14"/>
  <c r="D55" i="15"/>
  <c r="E55" i="15"/>
  <c r="F55" i="15"/>
  <c r="G55" i="15"/>
  <c r="H55" i="15"/>
  <c r="I55" i="15"/>
  <c r="J55" i="15"/>
  <c r="K55" i="15"/>
  <c r="L55" i="15"/>
  <c r="M55" i="15"/>
  <c r="N55" i="15"/>
  <c r="E57" i="15"/>
  <c r="F57" i="15"/>
  <c r="G57" i="15"/>
  <c r="H57" i="15"/>
  <c r="I57" i="15"/>
  <c r="J57" i="15"/>
  <c r="K57" i="15"/>
  <c r="L57" i="15"/>
  <c r="M57" i="15"/>
  <c r="N57" i="15"/>
  <c r="C57" i="15"/>
  <c r="C55" i="15"/>
  <c r="O48" i="15"/>
  <c r="O50" i="15"/>
  <c r="O52" i="15"/>
  <c r="O54" i="15"/>
  <c r="O56" i="15"/>
  <c r="O58" i="15"/>
  <c r="O45" i="15"/>
  <c r="E41" i="15"/>
  <c r="F35" i="15"/>
  <c r="F36" i="15"/>
  <c r="F37" i="15"/>
  <c r="F38" i="15"/>
  <c r="F39" i="15"/>
  <c r="F40" i="15"/>
  <c r="D41" i="15"/>
  <c r="F41" i="15" s="1"/>
  <c r="O26" i="15"/>
  <c r="O27" i="15"/>
  <c r="D45" i="15"/>
  <c r="E45" i="15"/>
  <c r="F45" i="15"/>
  <c r="G45" i="15"/>
  <c r="H45" i="15"/>
  <c r="I45" i="15"/>
  <c r="J45" i="15"/>
  <c r="K45" i="15"/>
  <c r="L45" i="15"/>
  <c r="M45" i="15"/>
  <c r="N45" i="15"/>
  <c r="C45" i="15"/>
  <c r="D12" i="11"/>
  <c r="D14" i="15"/>
  <c r="F14" i="15" s="1"/>
  <c r="D13" i="15"/>
  <c r="F13" i="15" s="1"/>
  <c r="D12" i="15"/>
  <c r="F12" i="15" s="1"/>
  <c r="F11" i="15"/>
  <c r="I21" i="17"/>
  <c r="H49" i="15" s="1"/>
  <c r="O55" i="15" l="1"/>
  <c r="F34" i="15"/>
  <c r="O25" i="15"/>
  <c r="D12" i="14"/>
  <c r="J12" i="14"/>
  <c r="I12" i="14"/>
  <c r="K12" i="14"/>
  <c r="H12" i="14"/>
  <c r="C12" i="14"/>
  <c r="G12" i="14"/>
  <c r="N12" i="14"/>
  <c r="F12" i="14"/>
  <c r="M12" i="14"/>
  <c r="E12" i="14"/>
  <c r="L12" i="14"/>
  <c r="L23" i="11"/>
  <c r="L24" i="11"/>
  <c r="D23" i="11"/>
  <c r="D24" i="11"/>
  <c r="F2" i="18"/>
  <c r="C4" i="18"/>
  <c r="C3" i="18"/>
  <c r="C2" i="18"/>
  <c r="L2" i="11"/>
  <c r="D15" i="15"/>
  <c r="F15" i="15" s="1"/>
  <c r="D16" i="15"/>
  <c r="F16" i="15" s="1"/>
  <c r="D17" i="15"/>
  <c r="F17" i="15" s="1"/>
  <c r="E11" i="5"/>
  <c r="D14" i="14"/>
  <c r="E14" i="14"/>
  <c r="F14" i="14"/>
  <c r="G14" i="14"/>
  <c r="H14" i="14"/>
  <c r="I14" i="14"/>
  <c r="J14" i="14"/>
  <c r="K14" i="14"/>
  <c r="L14" i="14"/>
  <c r="M14" i="14"/>
  <c r="N14" i="14"/>
  <c r="C14" i="14"/>
  <c r="E12" i="11"/>
  <c r="F12" i="11"/>
  <c r="G12" i="11"/>
  <c r="H12" i="11"/>
  <c r="I12" i="11"/>
  <c r="J12" i="11"/>
  <c r="K12" i="11"/>
  <c r="L12" i="11"/>
  <c r="M12" i="11"/>
  <c r="N12" i="11"/>
  <c r="O12" i="11"/>
  <c r="F9" i="11"/>
  <c r="G9" i="11"/>
  <c r="H9" i="11"/>
  <c r="I9" i="11"/>
  <c r="J9" i="11"/>
  <c r="K9" i="11"/>
  <c r="L9" i="11"/>
  <c r="M9" i="11"/>
  <c r="N9" i="11"/>
  <c r="O9" i="11"/>
  <c r="C4" i="5"/>
  <c r="C3" i="5"/>
  <c r="C2" i="5"/>
  <c r="F43" i="17"/>
  <c r="F44" i="17"/>
  <c r="F49" i="17"/>
  <c r="F50" i="17"/>
  <c r="F51" i="17"/>
  <c r="F52" i="17"/>
  <c r="F53" i="17"/>
  <c r="D49" i="15"/>
  <c r="F21" i="17"/>
  <c r="E49" i="15" s="1"/>
  <c r="G21" i="17"/>
  <c r="F49" i="15" s="1"/>
  <c r="H21" i="17"/>
  <c r="G49" i="15" s="1"/>
  <c r="J21" i="17"/>
  <c r="I49" i="15" s="1"/>
  <c r="K21" i="17"/>
  <c r="J49" i="15" s="1"/>
  <c r="L21" i="17"/>
  <c r="K49" i="15" s="1"/>
  <c r="M21" i="17"/>
  <c r="L49" i="15" s="1"/>
  <c r="N21" i="17"/>
  <c r="M49" i="15" s="1"/>
  <c r="O21" i="17"/>
  <c r="N49" i="15" s="1"/>
  <c r="D21" i="17"/>
  <c r="C49" i="15" s="1"/>
  <c r="O49" i="15" l="1"/>
  <c r="D54" i="17"/>
  <c r="F54" i="17" s="1"/>
  <c r="Q38" i="17" l="1"/>
  <c r="P12" i="17"/>
  <c r="M67" i="17" l="1"/>
  <c r="F67" i="17"/>
  <c r="P37" i="17"/>
  <c r="P35" i="17"/>
  <c r="P34" i="17"/>
  <c r="P31" i="17"/>
  <c r="O30" i="17"/>
  <c r="N53" i="15" s="1"/>
  <c r="N30" i="17"/>
  <c r="M53" i="15" s="1"/>
  <c r="M30" i="17"/>
  <c r="L53" i="15" s="1"/>
  <c r="L30" i="17"/>
  <c r="K53" i="15" s="1"/>
  <c r="K30" i="17"/>
  <c r="J53" i="15" s="1"/>
  <c r="J30" i="17"/>
  <c r="I53" i="15" s="1"/>
  <c r="I30" i="17"/>
  <c r="H53" i="15" s="1"/>
  <c r="G53" i="15"/>
  <c r="G30" i="17"/>
  <c r="F53" i="15" s="1"/>
  <c r="F30" i="17"/>
  <c r="E53" i="15" s="1"/>
  <c r="E30" i="17"/>
  <c r="D53" i="15" s="1"/>
  <c r="D30" i="17"/>
  <c r="C53" i="15" s="1"/>
  <c r="O26" i="17"/>
  <c r="N51" i="15" s="1"/>
  <c r="N26" i="17"/>
  <c r="M51" i="15" s="1"/>
  <c r="M26" i="17"/>
  <c r="L51" i="15" s="1"/>
  <c r="L26" i="17"/>
  <c r="K51" i="15" s="1"/>
  <c r="K26" i="17"/>
  <c r="J51" i="15" s="1"/>
  <c r="J26" i="17"/>
  <c r="I51" i="15" s="1"/>
  <c r="I26" i="17"/>
  <c r="H51" i="15" s="1"/>
  <c r="G51" i="15"/>
  <c r="G26" i="17"/>
  <c r="F51" i="15" s="1"/>
  <c r="F26" i="17"/>
  <c r="E51" i="15" s="1"/>
  <c r="E26" i="17"/>
  <c r="D51" i="15" s="1"/>
  <c r="D26" i="17"/>
  <c r="C51" i="15" s="1"/>
  <c r="P23" i="17"/>
  <c r="P22" i="17"/>
  <c r="O16" i="17"/>
  <c r="N47" i="15" s="1"/>
  <c r="N16" i="17"/>
  <c r="M47" i="15" s="1"/>
  <c r="M16" i="17"/>
  <c r="L47" i="15" s="1"/>
  <c r="L16" i="17"/>
  <c r="K47" i="15" s="1"/>
  <c r="K16" i="17"/>
  <c r="J47" i="15" s="1"/>
  <c r="J16" i="17"/>
  <c r="I47" i="15" s="1"/>
  <c r="I16" i="17"/>
  <c r="H47" i="15" s="1"/>
  <c r="H16" i="17"/>
  <c r="G47" i="15" s="1"/>
  <c r="G16" i="17"/>
  <c r="F47" i="15" s="1"/>
  <c r="F16" i="17"/>
  <c r="E47" i="15" s="1"/>
  <c r="E16" i="17"/>
  <c r="D16" i="17"/>
  <c r="C47" i="15" s="1"/>
  <c r="P13" i="17"/>
  <c r="P11" i="17"/>
  <c r="D4" i="17"/>
  <c r="D3" i="17"/>
  <c r="D2" i="17"/>
  <c r="M59" i="15" l="1"/>
  <c r="H59" i="15"/>
  <c r="G59" i="15"/>
  <c r="I59" i="15"/>
  <c r="J59" i="15"/>
  <c r="K59" i="15"/>
  <c r="L59" i="15"/>
  <c r="N59" i="15"/>
  <c r="F59" i="15"/>
  <c r="E59" i="15"/>
  <c r="O53" i="15"/>
  <c r="O51" i="15"/>
  <c r="D47" i="15"/>
  <c r="C59" i="15"/>
  <c r="O8" i="11"/>
  <c r="O11" i="11" s="1"/>
  <c r="J33" i="17"/>
  <c r="I23" i="15" s="1"/>
  <c r="I29" i="15" s="1"/>
  <c r="K33" i="17"/>
  <c r="J23" i="15" s="1"/>
  <c r="J29" i="15" s="1"/>
  <c r="G33" i="17"/>
  <c r="F23" i="15" s="1"/>
  <c r="F29" i="15" s="1"/>
  <c r="O33" i="17"/>
  <c r="N23" i="15" s="1"/>
  <c r="N29" i="15" s="1"/>
  <c r="D33" i="17"/>
  <c r="C23" i="15" s="1"/>
  <c r="M33" i="17"/>
  <c r="L23" i="15" s="1"/>
  <c r="L29" i="15" s="1"/>
  <c r="L33" i="17"/>
  <c r="K23" i="15" s="1"/>
  <c r="K29" i="15" s="1"/>
  <c r="F33" i="17"/>
  <c r="E23" i="15" s="1"/>
  <c r="E29" i="15" s="1"/>
  <c r="N33" i="17"/>
  <c r="M23" i="15" s="1"/>
  <c r="M29" i="15" s="1"/>
  <c r="H33" i="17"/>
  <c r="G23" i="15" s="1"/>
  <c r="G29" i="15" s="1"/>
  <c r="I33" i="17"/>
  <c r="H23" i="15" s="1"/>
  <c r="H29" i="15" s="1"/>
  <c r="P30" i="17"/>
  <c r="P16" i="17"/>
  <c r="P21" i="17"/>
  <c r="P26" i="17"/>
  <c r="M61" i="15" l="1"/>
  <c r="L61" i="15"/>
  <c r="F61" i="15"/>
  <c r="N61" i="15"/>
  <c r="H61" i="15"/>
  <c r="G61" i="15"/>
  <c r="J61" i="15"/>
  <c r="I61" i="15"/>
  <c r="K61" i="15"/>
  <c r="O47" i="15"/>
  <c r="E61" i="15"/>
  <c r="C29" i="15"/>
  <c r="N8" i="11"/>
  <c r="N11" i="11" s="1"/>
  <c r="C61" i="15" l="1"/>
  <c r="M8" i="11"/>
  <c r="M11" i="11" s="1"/>
  <c r="L8" i="11" l="1"/>
  <c r="L11" i="11" s="1"/>
  <c r="K8" i="11" l="1"/>
  <c r="K11" i="11" s="1"/>
  <c r="D4" i="15"/>
  <c r="D3" i="15"/>
  <c r="D2" i="15"/>
  <c r="J8" i="11" l="1"/>
  <c r="J11" i="11" s="1"/>
  <c r="N16" i="14"/>
  <c r="N18" i="14" s="1"/>
  <c r="N22" i="14" s="1"/>
  <c r="D16" i="14"/>
  <c r="E16" i="14"/>
  <c r="E18" i="14" s="1"/>
  <c r="E22" i="14" s="1"/>
  <c r="F16" i="14"/>
  <c r="F18" i="14" s="1"/>
  <c r="F22" i="14" s="1"/>
  <c r="G16" i="14"/>
  <c r="G18" i="14" s="1"/>
  <c r="G22" i="14" s="1"/>
  <c r="H16" i="14"/>
  <c r="H18" i="14" s="1"/>
  <c r="H22" i="14" s="1"/>
  <c r="I16" i="14"/>
  <c r="I18" i="14" s="1"/>
  <c r="I22" i="14" s="1"/>
  <c r="J16" i="14"/>
  <c r="J18" i="14" s="1"/>
  <c r="J22" i="14" s="1"/>
  <c r="K16" i="14"/>
  <c r="K18" i="14" s="1"/>
  <c r="K22" i="14" s="1"/>
  <c r="L16" i="14"/>
  <c r="L18" i="14" s="1"/>
  <c r="L22" i="14" s="1"/>
  <c r="M16" i="14"/>
  <c r="M18" i="14" s="1"/>
  <c r="M22" i="14" s="1"/>
  <c r="C16" i="14"/>
  <c r="C18" i="14" s="1"/>
  <c r="C22" i="14" s="1"/>
  <c r="I8" i="11" l="1"/>
  <c r="I11" i="11" s="1"/>
  <c r="O14" i="14"/>
  <c r="O16" i="14"/>
  <c r="D18" i="14"/>
  <c r="H8" i="11" l="1"/>
  <c r="H11" i="11" s="1"/>
  <c r="O18" i="14"/>
  <c r="O22" i="14" s="1"/>
  <c r="D22" i="14"/>
  <c r="D4" i="14"/>
  <c r="D3" i="14"/>
  <c r="D2" i="14"/>
  <c r="G8" i="11" l="1"/>
  <c r="G11" i="11" s="1"/>
  <c r="D4" i="11"/>
  <c r="D3" i="11"/>
  <c r="D2" i="11"/>
  <c r="O14" i="11"/>
  <c r="O16" i="11" s="1"/>
  <c r="O17" i="11" s="1"/>
  <c r="N14" i="11"/>
  <c r="M14" i="11"/>
  <c r="M16" i="11" s="1"/>
  <c r="M17" i="11" s="1"/>
  <c r="L14" i="11"/>
  <c r="L16" i="11" s="1"/>
  <c r="L17" i="11" s="1"/>
  <c r="K14" i="11"/>
  <c r="K16" i="11" s="1"/>
  <c r="K17" i="11" s="1"/>
  <c r="J14" i="11"/>
  <c r="I14" i="11"/>
  <c r="H14" i="11"/>
  <c r="G14" i="11"/>
  <c r="G16" i="11" s="1"/>
  <c r="G17" i="11" s="1"/>
  <c r="F14" i="11"/>
  <c r="E14" i="11"/>
  <c r="E16" i="11" s="1"/>
  <c r="D14" i="11"/>
  <c r="B75" i="9"/>
  <c r="F2" i="9"/>
  <c r="C4" i="9"/>
  <c r="C3" i="9"/>
  <c r="C2" i="9"/>
  <c r="D30" i="5"/>
  <c r="C30" i="5"/>
  <c r="F75" i="9"/>
  <c r="D16" i="11" l="1"/>
  <c r="D17" i="11" s="1"/>
  <c r="F8" i="11"/>
  <c r="F11" i="11" s="1"/>
  <c r="E17" i="11"/>
  <c r="N16" i="11"/>
  <c r="N17" i="11" s="1"/>
  <c r="H16" i="11"/>
  <c r="H17" i="11" s="1"/>
  <c r="I16" i="11"/>
  <c r="I17" i="11" s="1"/>
  <c r="J16" i="11"/>
  <c r="J17" i="11" s="1"/>
  <c r="F16" i="11"/>
  <c r="F17" i="11" s="1"/>
  <c r="P9" i="11"/>
  <c r="P16" i="11" l="1"/>
  <c r="E8" i="11"/>
  <c r="E11" i="11" s="1"/>
  <c r="D8" i="11" l="1"/>
  <c r="D11" i="11" s="1"/>
  <c r="E38" i="17"/>
  <c r="P38" i="17" s="1"/>
  <c r="R38" i="17" s="1"/>
  <c r="D57" i="15"/>
  <c r="D59" i="15" s="1"/>
  <c r="O59" i="15" s="1"/>
  <c r="E33" i="17"/>
  <c r="P33" i="17" s="1"/>
  <c r="D23" i="15" l="1"/>
  <c r="O57" i="15"/>
  <c r="O23" i="15" l="1"/>
  <c r="D29" i="15"/>
  <c r="D61" i="15" l="1"/>
  <c r="O29" i="15"/>
  <c r="O61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Alejandra Maida</author>
  </authors>
  <commentList>
    <comment ref="C11" authorId="0" shapeId="0" xr:uid="{2BD6CE13-7FD6-43CA-89C5-6D5359478CB1}">
      <text>
        <r>
          <rPr>
            <sz val="9"/>
            <color indexed="81"/>
            <rFont val="Tahoma"/>
            <family val="2"/>
          </rPr>
          <t>Revisar que: Rem 2 + Conceptos no rem = Rem Total</t>
        </r>
      </text>
    </comment>
    <comment ref="C13" authorId="0" shapeId="0" xr:uid="{B5EAE65A-5933-43C6-B323-30C6265E3759}">
      <text>
        <r>
          <rPr>
            <sz val="9"/>
            <color indexed="81"/>
            <rFont val="Tahoma"/>
            <family val="2"/>
          </rPr>
          <t>Revisar que sea igual a: Rem 2 (-) Sueldo de directores y pasantes (-) detracciones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Sofia Paredes</author>
  </authors>
  <commentList>
    <comment ref="B25" authorId="0" shapeId="0" xr:uid="{1B70E30F-141F-46C2-A748-3ECA1DA52195}">
      <text>
        <r>
          <rPr>
            <b/>
            <sz val="9"/>
            <color indexed="81"/>
            <rFont val="Tahoma"/>
            <family val="2"/>
          </rPr>
          <t>Sofia Paredes:</t>
        </r>
        <r>
          <rPr>
            <sz val="9"/>
            <color indexed="81"/>
            <rFont val="Tahoma"/>
            <family val="2"/>
          </rPr>
          <t xml:space="preserve">
Desde la Tabla de pagos
</t>
        </r>
      </text>
    </comment>
    <comment ref="B27" authorId="0" shapeId="0" xr:uid="{250BB406-9F2E-44F9-882F-151D8555149E}">
      <text>
        <r>
          <rPr>
            <b/>
            <sz val="9"/>
            <color indexed="81"/>
            <rFont val="Tahoma"/>
            <family val="2"/>
          </rPr>
          <t>Sofia Paredes:</t>
        </r>
        <r>
          <rPr>
            <sz val="9"/>
            <color indexed="81"/>
            <rFont val="Tahoma"/>
            <family val="2"/>
          </rPr>
          <t xml:space="preserve">
Vnculada pestaña compensacion
Validad desde Pag AFIP</t>
        </r>
      </text>
    </comment>
    <comment ref="B61" authorId="0" shapeId="0" xr:uid="{E5117DC2-2170-46A5-BC68-E7340EC68F62}">
      <text>
        <r>
          <rPr>
            <b/>
            <sz val="9"/>
            <color indexed="81"/>
            <rFont val="Tahoma"/>
            <family val="2"/>
          </rPr>
          <t>Sofia Paredes:</t>
        </r>
        <r>
          <rPr>
            <sz val="9"/>
            <color indexed="81"/>
            <rFont val="Tahoma"/>
            <family val="2"/>
          </rPr>
          <t xml:space="preserve">
Tiene que dar 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Armando Griffouliere</author>
    <author>Maria Alejandra Maida</author>
  </authors>
  <commentList>
    <comment ref="C12" authorId="0" shapeId="0" xr:uid="{00000000-0006-0000-0700-000001000000}">
      <text>
        <r>
          <rPr>
            <sz val="9"/>
            <color indexed="81"/>
            <rFont val="Tahoma"/>
            <family val="2"/>
          </rPr>
          <t>Misma base para el cálculo de Cont. Seg. Social
Remuneración 10, o Remuneración 2 (-)  Sueldo de directores y pasantes (-) Detracciones</t>
        </r>
      </text>
    </comment>
    <comment ref="C13" authorId="1" shapeId="0" xr:uid="{00000000-0006-0000-0700-000002000000}">
      <text>
        <r>
          <rPr>
            <sz val="9"/>
            <color indexed="81"/>
            <rFont val="Tahoma"/>
            <family val="2"/>
          </rPr>
          <t>Revisar qué porcentaje corresponde a cada empresa de acuerdo a su ubicación.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<sst xmlns="http://schemas.openxmlformats.org/spreadsheetml/2006/main" count="357" uniqueCount="282">
  <si>
    <t>PASIVOS LABORALES</t>
  </si>
  <si>
    <t>EMPRESA</t>
  </si>
  <si>
    <t>FECHA AUDITORIA</t>
  </si>
  <si>
    <t>INICIO</t>
  </si>
  <si>
    <t>AUDITOR</t>
  </si>
  <si>
    <t>CIERRE</t>
  </si>
  <si>
    <t>RESPONSABLE</t>
  </si>
  <si>
    <t>Avance del Papel de trabajo</t>
  </si>
  <si>
    <t>OK</t>
  </si>
  <si>
    <t>EN PROCESO</t>
  </si>
  <si>
    <t>PENDIENTE</t>
  </si>
  <si>
    <t>N/A</t>
  </si>
  <si>
    <t xml:space="preserve">PAPEL DE TRABAJO DE PASIVOS LABORALES </t>
  </si>
  <si>
    <t xml:space="preserve">Objetivo: </t>
  </si>
  <si>
    <t xml:space="preserve">Verificar la correcta imputación en las cuentas contables respectivas , de los pasivos laborales generados durante todo el período bajo análisis como así tambien la imputación de los pagos correspondientes , verificando el saldo pendiente de pago al cierre. </t>
  </si>
  <si>
    <t>PROCEDIMIENTO para completar este papel de Trabajo:</t>
  </si>
  <si>
    <t>1.-</t>
  </si>
  <si>
    <t>Completar la pestaña títulos con los datos de la empresa.</t>
  </si>
  <si>
    <t>2.-</t>
  </si>
  <si>
    <t>Copiar en pestaña SyS el Sys de la empresa</t>
  </si>
  <si>
    <t>3.-</t>
  </si>
  <si>
    <t>Analisis General &gt; Colocar los periodos correspondente al ejercicio de analisis. Y completar planilla con relevamiento de 931</t>
  </si>
  <si>
    <t>4.-</t>
  </si>
  <si>
    <t>Bajar desde pagina de AFIP las Retenciones a contribuciones sociales y pegarlas en Hoja "Ret SUSS" desde fila 25 hacia abajo respetando que coincidan los titulos con los datos pegados</t>
  </si>
  <si>
    <t>5.-</t>
  </si>
  <si>
    <t>Bajar desde la pagina de AFIP los Pagos realizados en el ejericio y pegarlo en hoja "Pagos" desde fila 5 hacia abajo respetando titulos. De Igual forma los pagos posteriores desde Fila 5 Col K</t>
  </si>
  <si>
    <t>6.-</t>
  </si>
  <si>
    <t>Importante &gt; En punto 4 y 5 los importes se deben convertir a numero o reemplazar . (punto de texto) por , (coma) para que lol tome como numero</t>
  </si>
  <si>
    <t>7.-</t>
  </si>
  <si>
    <t>Tabla de Pagos &gt;  Ubicados A5 seleccionar "Actualizar datos" y desde H5 lo mismo</t>
  </si>
  <si>
    <t>8.-</t>
  </si>
  <si>
    <t xml:space="preserve">Completar Hoja Compensaciones. </t>
  </si>
  <si>
    <t>9.-</t>
  </si>
  <si>
    <t xml:space="preserve">Saldo Inicio y Cierre &gt; se analizan las cuentas patrimoniales incluidas en el 931. Se debe vinculas con la hoja "Tabla Pagos" para analizar pasivos </t>
  </si>
  <si>
    <t xml:space="preserve">EMPRESA: </t>
  </si>
  <si>
    <t>CUENTAS A AUDITAR</t>
  </si>
  <si>
    <t>Ajustes Totales a proponer</t>
  </si>
  <si>
    <t>Ajuste</t>
  </si>
  <si>
    <t>Código</t>
  </si>
  <si>
    <t>Descripción</t>
  </si>
  <si>
    <t>Importe SyS</t>
  </si>
  <si>
    <t>Saldo auditado</t>
  </si>
  <si>
    <t>Desvio en valores</t>
  </si>
  <si>
    <t>Desvio en %</t>
  </si>
  <si>
    <t>Ajuste Propuesto</t>
  </si>
  <si>
    <t>Observaciones</t>
  </si>
  <si>
    <t>CÓDIGO</t>
  </si>
  <si>
    <t>CUENTA</t>
  </si>
  <si>
    <t>SALDO</t>
  </si>
  <si>
    <t>X</t>
  </si>
  <si>
    <t>FECHA DE LA AUDITORÍA:</t>
  </si>
  <si>
    <t>AUDITORIA AL:</t>
  </si>
  <si>
    <t xml:space="preserve"> ANÁLISIS F931</t>
  </si>
  <si>
    <t>Saldos Contab.</t>
  </si>
  <si>
    <t>Diferencia</t>
  </si>
  <si>
    <t>CONCEPTO</t>
  </si>
  <si>
    <t>TOTALES</t>
  </si>
  <si>
    <t>ORIGINAL / RECTIFICATIVA</t>
  </si>
  <si>
    <t>CANTIDAD DE EMPLEADOS</t>
  </si>
  <si>
    <t>FECHA DE PRESENTACIÓN</t>
  </si>
  <si>
    <t>REMUNERACIÓN 2</t>
  </si>
  <si>
    <t>CONCEPTOS NO REMUNERATIVOS</t>
  </si>
  <si>
    <t>REMUNERACIÓN 10</t>
  </si>
  <si>
    <t>APORTES SUSS</t>
  </si>
  <si>
    <t>APORTES A FAVOR</t>
  </si>
  <si>
    <t>APORTES SEG. SOCIAL A PAGAR</t>
  </si>
  <si>
    <t>CONTRIBUCIONES SUSS</t>
  </si>
  <si>
    <t>EXCEDENTES CONT. A FAVOR</t>
  </si>
  <si>
    <t>DETRACCIÓN ART. 23 LEY 27.541</t>
  </si>
  <si>
    <t>RETENCIONES</t>
  </si>
  <si>
    <t>CONTRIBUCIONES SEG. SOCIAL A PAGAR</t>
  </si>
  <si>
    <r>
      <t>OTROS</t>
    </r>
    <r>
      <rPr>
        <sz val="9"/>
        <rFont val="Arial"/>
        <family val="2"/>
      </rPr>
      <t xml:space="preserve"> (EJ. CONTRIBUCIONES RENATRE)</t>
    </r>
  </si>
  <si>
    <r>
      <t xml:space="preserve">OTROS </t>
    </r>
    <r>
      <rPr>
        <sz val="9"/>
        <rFont val="Arial"/>
        <family val="2"/>
      </rPr>
      <t>(EJ. SEG. SEPELIO UATRE)</t>
    </r>
  </si>
  <si>
    <t>APORTES O.S.</t>
  </si>
  <si>
    <t>APORTES OBRA SOCIAL A PAGAR</t>
  </si>
  <si>
    <t>CONTRIBUCIONES O.S.</t>
  </si>
  <si>
    <t>CONTIBUCIONES OBRA SOCIAL A PAGAR</t>
  </si>
  <si>
    <t>ART</t>
  </si>
  <si>
    <t>SEGURO DE VIDA COLECTIVO OBLIGATORIO</t>
  </si>
  <si>
    <t>TOTAL 931</t>
  </si>
  <si>
    <r>
      <t xml:space="preserve">FACYS </t>
    </r>
    <r>
      <rPr>
        <b/>
        <sz val="9"/>
        <color rgb="FFFF0000"/>
        <rFont val="Arial"/>
        <family val="2"/>
      </rPr>
      <t>(Descontado del bono)</t>
    </r>
  </si>
  <si>
    <r>
      <t xml:space="preserve">CEC </t>
    </r>
    <r>
      <rPr>
        <b/>
        <sz val="9"/>
        <color rgb="FFFF0000"/>
        <rFont val="Arial"/>
        <family val="2"/>
      </rPr>
      <t>(Descontado del bono)</t>
    </r>
  </si>
  <si>
    <r>
      <t xml:space="preserve">CUOTA ALIMENTARIA </t>
    </r>
    <r>
      <rPr>
        <b/>
        <sz val="9"/>
        <color rgb="FFFF0000"/>
        <rFont val="Arial"/>
        <family val="2"/>
      </rPr>
      <t>(Descontada del bono)</t>
    </r>
  </si>
  <si>
    <r>
      <t xml:space="preserve">SINDICATO 4 </t>
    </r>
    <r>
      <rPr>
        <b/>
        <sz val="9"/>
        <color rgb="FFFF0000"/>
        <rFont val="Arial"/>
        <family val="2"/>
      </rPr>
      <t>(Contribución)</t>
    </r>
  </si>
  <si>
    <t>COSTO TOTAL PARA LA EMPRESA</t>
  </si>
  <si>
    <t>CUENTAS DE RESULTADO</t>
  </si>
  <si>
    <t>Desccripción</t>
  </si>
  <si>
    <t>Saldo</t>
  </si>
  <si>
    <t>S. Auditado</t>
  </si>
  <si>
    <t>Desvío</t>
  </si>
  <si>
    <t>Remuneración 1</t>
  </si>
  <si>
    <t>Cálculo de Aportes SIPA y RENATEA</t>
  </si>
  <si>
    <t>Remuneración 2</t>
  </si>
  <si>
    <t>Cálculo de Contribuciones Jubilatorias e INSSJIP</t>
  </si>
  <si>
    <t>Remuneración 3</t>
  </si>
  <si>
    <t>Cálculo de Contribuciones al FNE, AAFF y RENATEA</t>
  </si>
  <si>
    <t>Remuneración 4</t>
  </si>
  <si>
    <t>Cálculo de Aportes Obra Social y ANSSAL</t>
  </si>
  <si>
    <t>Remuneración 5</t>
  </si>
  <si>
    <t>Cálculo de Aportes INSSJIP</t>
  </si>
  <si>
    <t>Remuneración 8</t>
  </si>
  <si>
    <t>Cálculo de Contribuciones Obra Social y ANSSAL</t>
  </si>
  <si>
    <t>Remuneración 9</t>
  </si>
  <si>
    <t>LRT</t>
  </si>
  <si>
    <t>Remuneración 10</t>
  </si>
  <si>
    <t>Cálculo de Contribuciones Previsionales y PAMI - Ley 27.430</t>
  </si>
  <si>
    <t>Remuneración 11</t>
  </si>
  <si>
    <t>Cálculo de Contribuciones Dcto 14/20 PAMI, Fondo Nacional de Empleo y Asig. Familiares</t>
  </si>
  <si>
    <t>ANALISIS DE PASIVOS LABORALES</t>
  </si>
  <si>
    <t>PASIVO LABORAL - SALDOS AL INICIO</t>
  </si>
  <si>
    <t>CUENTAS PATRIMONIALES</t>
  </si>
  <si>
    <t>Saldos S/ Balance Anterior</t>
  </si>
  <si>
    <t>PAGO</t>
  </si>
  <si>
    <t>Pendiente de cancelacion</t>
  </si>
  <si>
    <t>He observado comprobante de pago (SI/NO)</t>
  </si>
  <si>
    <t>Medio de pago utilizado</t>
  </si>
  <si>
    <t>PASIVO LABORAL - SALDOS AL CIERRE</t>
  </si>
  <si>
    <t>PERIODO</t>
  </si>
  <si>
    <t>TOTAL</t>
  </si>
  <si>
    <t>PAGOS  VEP</t>
  </si>
  <si>
    <t>PLANES DE PAGOS</t>
  </si>
  <si>
    <t>COMPENSACION IDYCB</t>
  </si>
  <si>
    <t>CUENTAS PATRIMONIALES 931</t>
  </si>
  <si>
    <t>Saldo SyS</t>
  </si>
  <si>
    <t>Saldos s/ Auditoria</t>
  </si>
  <si>
    <t>Desvio Ctas Patrimoniales</t>
  </si>
  <si>
    <t>He observado comprobante de pago posterior (SI/NO)</t>
  </si>
  <si>
    <t>Pagos desde la tabla de pagos</t>
  </si>
  <si>
    <t>OBLIGACION</t>
  </si>
  <si>
    <t>TOTAL DEUDA</t>
  </si>
  <si>
    <t>CONTROL</t>
  </si>
  <si>
    <t xml:space="preserve"> ANÁLISIS RETENCIONES SUSS</t>
  </si>
  <si>
    <t>Declaradas en AFIP</t>
  </si>
  <si>
    <t>Tomadas en 931</t>
  </si>
  <si>
    <t>No tomadas (Credito)</t>
  </si>
  <si>
    <t>Saldo s/ Auditoría</t>
  </si>
  <si>
    <t>Saldo s/ Contabilidad</t>
  </si>
  <si>
    <t>CUIT Agente Ret./Perc.</t>
  </si>
  <si>
    <t>Denominación o Razón Social</t>
  </si>
  <si>
    <t>Impuesto</t>
  </si>
  <si>
    <t>Descripción Impuesto</t>
  </si>
  <si>
    <t>Régimen</t>
  </si>
  <si>
    <t>Descripción Régimen</t>
  </si>
  <si>
    <t>Fecha Ret./Perc.</t>
  </si>
  <si>
    <t>Número Certificado</t>
  </si>
  <si>
    <t>Descripción Operación</t>
  </si>
  <si>
    <t>Importe Ret./Perc.</t>
  </si>
  <si>
    <t>Importe Excedente</t>
  </si>
  <si>
    <t>Total</t>
  </si>
  <si>
    <t>Fecha Ingreso</t>
  </si>
  <si>
    <t>MES</t>
  </si>
  <si>
    <t>DURANTE EL EJERCICIO</t>
  </si>
  <si>
    <t>POSTERIOR AL EJERICIO</t>
  </si>
  <si>
    <t>COMPENSACIONES CON F931</t>
  </si>
  <si>
    <t>Fecha Operación</t>
  </si>
  <si>
    <t>Formulario</t>
  </si>
  <si>
    <t>Version</t>
  </si>
  <si>
    <t>Periodo</t>
  </si>
  <si>
    <t>Importe</t>
  </si>
  <si>
    <t>Etiquetas de fila</t>
  </si>
  <si>
    <t>Suma de Importe</t>
  </si>
  <si>
    <t>(en blanco)</t>
  </si>
  <si>
    <t>Total general</t>
  </si>
  <si>
    <t>Banco</t>
  </si>
  <si>
    <t>CBU</t>
  </si>
  <si>
    <t>Importe Compensado</t>
  </si>
  <si>
    <t>CÁLCULO DEL CRÉDITO FISCAL - DTO. 814</t>
  </si>
  <si>
    <t>Saldo tomado en la DDJJ de IVA</t>
  </si>
  <si>
    <t>Contribuciones Seg Soc (Dto. 814/2001)</t>
  </si>
  <si>
    <t>Período</t>
  </si>
  <si>
    <t xml:space="preserve">Base de Cálculo </t>
  </si>
  <si>
    <t>Porcentaje (varía según zona)</t>
  </si>
  <si>
    <t>Importe determinado según porcentaje</t>
  </si>
  <si>
    <t>Fecha de cancelación del formulario 931</t>
  </si>
  <si>
    <t>% de desvío</t>
  </si>
  <si>
    <t>Conclusión</t>
  </si>
  <si>
    <t>CUESTIONARIOS - PASIVOS LABORALES</t>
  </si>
  <si>
    <t>Lugar y Fecha de Emisión Informe:</t>
  </si>
  <si>
    <t>Lugar, xx de xx de xxxx</t>
  </si>
  <si>
    <t>Encuestado:</t>
  </si>
  <si>
    <t>NOMBRE DEL ENTREVISTADO</t>
  </si>
  <si>
    <t>Emisor:</t>
  </si>
  <si>
    <t>NOMBRE DEL AUDITOR A CARGO</t>
  </si>
  <si>
    <t>EXAMEN DE CONTROLES</t>
  </si>
  <si>
    <t>SI</t>
  </si>
  <si>
    <t>NO</t>
  </si>
  <si>
    <t>COMENTARIOS</t>
  </si>
  <si>
    <t>1. Se encuentran segregadas las funciones de: a) control de servicios; b) liquidación de retribuciones; c) pago de retribuciones; d) en su caso, conciliación de cuentas bancarias para pago de haberes?</t>
  </si>
  <si>
    <t>2. Existen una clara definición de funciones y atribución de responsabilidades?</t>
  </si>
  <si>
    <t>3. Existen normas escritas referentes al procedimiento de haberes y cargas sociales?</t>
  </si>
  <si>
    <t>4. Se mantiene un archivo actualizado de las diferentes disposiciones legales y reglamentarias relativas a remuneraciones y cargas sociales?</t>
  </si>
  <si>
    <t>5. Existen legajos individuales por empleado en el que consten todos los antecedentes necesarios para una correcta liquidación de haberes?</t>
  </si>
  <si>
    <t>6. Se controlan los tiempos trabajados y los no trabajados pero remunerados, quedando constancia escrita de ello?</t>
  </si>
  <si>
    <t>7. Se autorizan horas extras?</t>
  </si>
  <si>
    <t>8. Existe información básica confiable que permita liquidar las comisiones sobre ventas, cobranzas, etc.?</t>
  </si>
  <si>
    <t>9. Existe independencia entre los siguientes sectores: liquidación de haberes; control de servicios y pago de remuneraciones?</t>
  </si>
  <si>
    <t>10. Se revisan por persona independiente de quien las prepara, las liquidaciones individuales y las nóminas generales, tanto desde el punto de vista cuantitativo como cualitativo?</t>
  </si>
  <si>
    <t>11. Se autorizan las planillas de remuneraciones por un nivel superior al que las prepara?</t>
  </si>
  <si>
    <t>12. En el momento de pago se exige la identificación del beneficiario?</t>
  </si>
  <si>
    <t>13. Se compara la firma del recibo con la  que consta en el pertinente legajo individual?</t>
  </si>
  <si>
    <t>14. Se depositan los salarios no reclamados transcurrido un breve período de espera?</t>
  </si>
  <si>
    <t>15. Existe rotación del personal de esta sección?</t>
  </si>
  <si>
    <t>16. En el caso de pagos con cheque, se emite uno por cada beneficiario? O existen pagos en efectivo?</t>
  </si>
  <si>
    <t>17. Se utiliza una única y exclusiva cuenta para el pago de sueldos?</t>
  </si>
  <si>
    <t>18. Se concilia mensualmente su importe por persona independiente?</t>
  </si>
  <si>
    <t>19. Se cumplen en las disposiciones legales y reglamentarias en lo concerniente a:</t>
  </si>
  <si>
    <t>-        Salario Mínimo;</t>
  </si>
  <si>
    <t>-        Sueldo Anual Complementario;</t>
  </si>
  <si>
    <t>-        Vacaciones;</t>
  </si>
  <si>
    <t>-        Licencias Pagas;</t>
  </si>
  <si>
    <t>-        Asignaciones familiares;</t>
  </si>
  <si>
    <t>-        Indemnizaciones por despido;</t>
  </si>
  <si>
    <t>-        Organismos nacionales de previsión;</t>
  </si>
  <si>
    <t>-        Dirección General Impositiva;</t>
  </si>
  <si>
    <t>-        Formalidades en recibos de haberes;</t>
  </si>
  <si>
    <t>20. Existen normas escritas en cuanto a procedimientos contables en el área de remuneraciones y sus cargas?</t>
  </si>
  <si>
    <t>21. Existen contrataciones con empresas de servicios de personal terciarizado? Cuales?</t>
  </si>
  <si>
    <t>22.   Se realizan retenciones de cuarta categoría a todos los empleados que superen los límites de sueldos?</t>
  </si>
  <si>
    <t>23.  Se solicita al empleado el formulario 572 o la información para el cálculo de retención de cuarta categoría?</t>
  </si>
  <si>
    <t>24.  Se hace entrega del formulario 649?</t>
  </si>
  <si>
    <t>25. Existe un mecanismo de autorización para la contratación del personal?</t>
  </si>
  <si>
    <t>26.    Existen formularios de notificación de modificaciones salariales?</t>
  </si>
  <si>
    <t>27.   Existe formularios de notificación de las licencias?</t>
  </si>
  <si>
    <t>28. La empresa acostumbra realizar pagos por rendimiento o bonos anuales?</t>
  </si>
  <si>
    <t>29. La empresa acostumbra dar prétamos al personal? Existe alguna norma?</t>
  </si>
  <si>
    <t>30. La empresa acostumbra dar anticipos de sueldos?</t>
  </si>
  <si>
    <t>31.  La empresa utiliza mano de obra en trabajos nocturnos?</t>
  </si>
  <si>
    <t>32. Existe una nómina de empleados confidenciales?</t>
  </si>
  <si>
    <t>33. Existen trabajadores que no cumplan con las 200hs mensuales de trabajo? Jornada reducida.</t>
  </si>
  <si>
    <t>34. Se registran las cargas por haberes y cargas sociales por el principio de lo devengado?</t>
  </si>
  <si>
    <t>35. Se concilian periódicamente, quedando constancia escrita, los saldos de mayor con la documentación respaldatoria?</t>
  </si>
  <si>
    <t>36. Existen archivos adecuados para:</t>
  </si>
  <si>
    <t>-        Nóminas;</t>
  </si>
  <si>
    <t>-        Recibos de haberes;</t>
  </si>
  <si>
    <t>-        Tarjetas de reloj;</t>
  </si>
  <si>
    <t>-        Partes de asignación de tiempo;</t>
  </si>
  <si>
    <t>-        Autorizaciones de horas extras;</t>
  </si>
  <si>
    <t>-        Documentación relativa a organismos previsionales;</t>
  </si>
  <si>
    <t>-        Otros?</t>
  </si>
  <si>
    <t>37. Se realizan controles de ausentismos?</t>
  </si>
  <si>
    <t>38. Existe procedimiento de incorporación de personal?</t>
  </si>
  <si>
    <t>39. La empresa acostumbra realizar examen preocupacional?</t>
  </si>
  <si>
    <t>40.  Existen arreglos de sueldos con los empleados por fuera de lo que establecen los convenios?</t>
  </si>
  <si>
    <t>Responsable</t>
  </si>
  <si>
    <t>Auditor</t>
  </si>
  <si>
    <t>MAYORES CONTABLES</t>
  </si>
  <si>
    <t>PASIVO LABORAL</t>
  </si>
  <si>
    <t>DESCRIPCIÓN</t>
  </si>
  <si>
    <t>ESTADO (OK-EN PROCESO-OBSERVADO - N/C)</t>
  </si>
  <si>
    <t>COMENTARIO</t>
  </si>
  <si>
    <t>REF</t>
  </si>
  <si>
    <t>¿Se realizó la selección de las cuentas a auditar y se propusieron los ajustes de auditoría?</t>
  </si>
  <si>
    <t>P. LABORAL 1</t>
  </si>
  <si>
    <t>¿Se realizó el control de los saldos iniciales? Correspondencia con el último balance certificado, cancelación posterior.</t>
  </si>
  <si>
    <t>P. LABORAL 2</t>
  </si>
  <si>
    <t>¿Se realizó el control cruzado del formulario 931 vs. Cuentas de resultado y asientos contables?</t>
  </si>
  <si>
    <t>P. LABORAL 3</t>
  </si>
  <si>
    <t>¿Se realizó el control de los saldos finales y los pagos posteriores a la fecha de cierre?</t>
  </si>
  <si>
    <t>P. LABORAL 4</t>
  </si>
  <si>
    <t>¿Se realizó el control cruzado de vep vs cuentas tributarias y asientos contables de la ART y la obra social?</t>
  </si>
  <si>
    <t xml:space="preserve">¿Se hizo la revisión de los mayores contables? Devengamiento mensual de deuda y pago. </t>
  </si>
  <si>
    <t>P. LABORAL 5</t>
  </si>
  <si>
    <t>¿Se realizó la revisión aritmética del cálculo del crédito fiscal cargas sociales? (Decreto 814)</t>
  </si>
  <si>
    <t>P. LABORAL 6</t>
  </si>
  <si>
    <t>¿Se realizó el control cruzado de retenciones computadas en F931 y Mis Retenciones?</t>
  </si>
  <si>
    <t>P. LABORAL 7</t>
  </si>
  <si>
    <t>¿Se revisaron los beneficios recibidos? (ATP-REPRO)</t>
  </si>
  <si>
    <t>P. LABORAL 8</t>
  </si>
  <si>
    <t>Control de retenciones de Impuesto a las Ganancias correspondientes a la 4º Categoría</t>
  </si>
  <si>
    <t>VERIFICACIÓN DE DOCUMENTACIÓN REGLAMENTARIA:</t>
  </si>
  <si>
    <t xml:space="preserve"> - libros de sueldos rubricados, transcriptos y encuadernados.</t>
  </si>
  <si>
    <t xml:space="preserve"> - planilla de control horario rubricadas y firmadas.</t>
  </si>
  <si>
    <t xml:space="preserve"> - recibos de sueldos firmados</t>
  </si>
  <si>
    <t>REVISIÓN PROVISIÓN DE VACACIONES, SAC, MULTAS Y/O JUICIOS LABORALES.</t>
  </si>
  <si>
    <t>COTEJAR LOS SALDOS DE LOS PLANES DE PAGOS SOCIALES CON LA CONTABILIDAD</t>
  </si>
  <si>
    <t>Circularización a los asesores legales vs provisión de juicios laborales contabilizados</t>
  </si>
  <si>
    <t>P. LABORAL 9</t>
  </si>
  <si>
    <t>¿Se completó el cuestionario?</t>
  </si>
  <si>
    <t>P. LABORAL 10</t>
  </si>
  <si>
    <t>¿Se completó el memorándum de conclusiones?</t>
  </si>
  <si>
    <t>P. LABORAL 11</t>
  </si>
  <si>
    <t>Carga de la composición final en el inventario.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</si>
</sst>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&quot;$&quot;\ #,##0.00;[Red]\-&quot;$&quot;\ #,##0.00"/>
    <numFmt numFmtId="165" formatCode="_ * #,##0_ ;_ * \-#,##0_ ;_ * &quot;-&quot;_ ;_ @_ "/>
    <numFmt numFmtId="166" formatCode="_ * #,##0.00_ ;_ * \-#,##0.00_ ;_ * &quot;-&quot;??_ ;_ @_ "/>
    <numFmt numFmtId="167" formatCode="_-* #,##0.00\ _€_-;\-* #,##0.00\ _€_-;_-* &quot;-&quot;??\ _€_-;_-@_-"/>
    <numFmt numFmtId="168" formatCode="dd\-mm\-yy;@"/>
    <numFmt numFmtId="169" formatCode="[$-F800]dddd\,\ mmmm\ dd\,\ yyyy"/>
    <numFmt numFmtId="170" formatCode="#,##0.00_ ;[Red]\-#,##0.00\ "/>
    <numFmt numFmtId="171" formatCode="[$$-2C0A]\ #,##0.00"/>
    <numFmt numFmtId="172" formatCode="mmmm\-yy"/>
    <numFmt numFmtId="173" formatCode="#,##0.00;[Red]#,##0.00"/>
    <numFmt numFmtId="174" formatCode="dd/mm/yyyy;@"/>
    <numFmt numFmtId="175" formatCode="_-* #,##0_-;\-* #,##0_-;_-* &quot;-&quot;??_-;_-@_-"/>
  </numFmts>
  <fonts count="7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u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u/>
      <sz val="10"/>
      <name val="Arial"/>
      <family val="2"/>
    </font>
    <font>
      <sz val="13"/>
      <name val="Arial"/>
      <family val="2"/>
    </font>
    <font>
      <sz val="10"/>
      <name val="Book Antiqua"/>
      <family val="1"/>
    </font>
    <font>
      <b/>
      <sz val="11"/>
      <color indexed="9"/>
      <name val="Arial"/>
      <family val="2"/>
    </font>
    <font>
      <b/>
      <sz val="18"/>
      <color indexed="9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0"/>
      <color indexed="18"/>
      <name val="Arial"/>
      <family val="2"/>
    </font>
    <font>
      <b/>
      <sz val="16"/>
      <name val="Arial"/>
      <family val="2"/>
    </font>
    <font>
      <b/>
      <sz val="8"/>
      <color indexed="10"/>
      <name val="Arial"/>
      <family val="2"/>
    </font>
    <font>
      <i/>
      <u/>
      <sz val="16"/>
      <name val="Arial"/>
      <family val="2"/>
    </font>
    <font>
      <b/>
      <u/>
      <sz val="8"/>
      <name val="Arial"/>
      <family val="2"/>
    </font>
    <font>
      <sz val="9"/>
      <color indexed="81"/>
      <name val="Tahoma"/>
      <family val="2"/>
    </font>
    <font>
      <b/>
      <sz val="9"/>
      <color rgb="FFFF0000"/>
      <name val="Arial"/>
      <family val="2"/>
    </font>
    <font>
      <b/>
      <i/>
      <u/>
      <sz val="10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2"/>
      <color theme="0"/>
      <name val="Arial"/>
      <family val="2"/>
    </font>
    <font>
      <u/>
      <sz val="10"/>
      <color theme="10"/>
      <name val="Arial"/>
      <family val="2"/>
    </font>
    <font>
      <u/>
      <sz val="9"/>
      <name val="Arial"/>
      <family val="2"/>
    </font>
    <font>
      <b/>
      <sz val="13"/>
      <color theme="0"/>
      <name val="Arial"/>
      <family val="2"/>
    </font>
    <font>
      <b/>
      <u/>
      <sz val="9"/>
      <name val="Arial"/>
      <family val="2"/>
    </font>
    <font>
      <sz val="8"/>
      <color rgb="FF000080"/>
      <name val="Tahoma"/>
      <family val="2"/>
    </font>
    <font>
      <sz val="8"/>
      <color rgb="FF000000"/>
      <name val="Tahoma"/>
      <family val="2"/>
    </font>
    <font>
      <b/>
      <sz val="10"/>
      <color theme="1"/>
      <name val="Arial"/>
      <family val="2"/>
    </font>
    <font>
      <b/>
      <i/>
      <sz val="10"/>
      <name val="Arial"/>
      <family val="2"/>
    </font>
    <font>
      <b/>
      <sz val="10"/>
      <name val="Book Antiqua"/>
      <family val="1"/>
    </font>
    <font>
      <b/>
      <sz val="9"/>
      <color indexed="81"/>
      <name val="Tahoma"/>
      <family val="2"/>
    </font>
    <font>
      <sz val="10"/>
      <color theme="0"/>
      <name val="Book Antiqua"/>
      <family val="1"/>
    </font>
    <font>
      <sz val="10"/>
      <color theme="0"/>
      <name val="Arial"/>
      <family val="2"/>
    </font>
    <font>
      <b/>
      <sz val="11"/>
      <color theme="0"/>
      <name val="Arial"/>
      <family val="2"/>
    </font>
    <font>
      <sz val="12"/>
      <color indexed="0"/>
      <name val="Arial"/>
      <family val="2"/>
    </font>
    <font>
      <sz val="10"/>
      <color indexed="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10"/>
      <color rgb="FFEE0000"/>
      <name val="Arial"/>
      <family val="2"/>
    </font>
    <font>
      <sz val="6"/>
      <color rgb="FF000000"/>
      <name val="Tahoma"/>
      <family val="2"/>
    </font>
    <font>
      <b/>
      <sz val="18"/>
      <name val="Arial"/>
      <family val="2"/>
    </font>
    <font>
      <sz val="6"/>
      <name val="Arial"/>
      <family val="2"/>
    </font>
    <font>
      <sz val="5"/>
      <color rgb="FF000000"/>
      <name val="Tahoma"/>
      <family val="2"/>
    </font>
    <font>
      <b/>
      <sz val="5"/>
      <color rgb="FF000000"/>
      <name val="Tahoma"/>
      <family val="2"/>
    </font>
    <font>
      <b/>
      <sz val="6"/>
      <color rgb="FF000000"/>
      <name val="Tahoma"/>
      <family val="2"/>
    </font>
    <font>
      <sz val="2"/>
      <color rgb="FF000000"/>
      <name val="Tahoma"/>
      <family val="2"/>
    </font>
    <font>
      <b/>
      <sz val="3"/>
      <color rgb="FF000000"/>
      <name val="Tahoma"/>
      <family val="2"/>
    </font>
    <font>
      <b/>
      <sz val="7"/>
      <color rgb="FF000000"/>
      <name val="Tahoma"/>
      <family val="2"/>
    </font>
    <font>
      <sz val="5"/>
      <name val="Arial"/>
      <family val="2"/>
    </font>
    <font>
      <b/>
      <sz val="5"/>
      <name val="Arial"/>
      <family val="2"/>
    </font>
    <font>
      <b/>
      <sz val="6"/>
      <name val="Arial"/>
      <family val="2"/>
    </font>
    <font>
      <sz val="2"/>
      <name val="Arial"/>
      <family val="2"/>
    </font>
    <font>
      <b/>
      <sz val="3"/>
      <name val="Arial"/>
      <family val="2"/>
    </font>
    <font>
      <b/>
      <sz val="7"/>
      <name val="Arial"/>
      <family val="2"/>
    </font>
    <font>
      <u/>
      <sz val="1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A6C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35DE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3B4F6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8A8A8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3B4F6A"/>
      </left>
      <right style="thin">
        <color rgb="FF3B4F6A"/>
      </right>
      <top style="thin">
        <color rgb="FF3B4F6A"/>
      </top>
      <bottom style="thin">
        <color rgb="FF3B4F6A"/>
      </bottom>
      <diagonal/>
    </border>
    <border>
      <left style="thin">
        <color rgb="FF3B4F6A"/>
      </left>
      <right style="thin">
        <color rgb="FF3B4F6A"/>
      </right>
      <top style="thin">
        <color rgb="FF3B4F6A"/>
      </top>
      <bottom/>
      <diagonal/>
    </border>
    <border>
      <left style="thin">
        <color rgb="FF3B4F6A"/>
      </left>
      <right style="thin">
        <color rgb="FF3B4F6A"/>
      </right>
      <top style="thin">
        <color rgb="FF3B4F6A"/>
      </top>
      <bottom style="thin">
        <color theme="3"/>
      </bottom>
      <diagonal/>
    </border>
    <border>
      <left style="thin">
        <color rgb="FF3B4F6A"/>
      </left>
      <right/>
      <top style="thin">
        <color rgb="FF3B4F6A"/>
      </top>
      <bottom style="thin">
        <color rgb="FF3B4F6A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/>
      <right/>
      <top/>
      <bottom style="medium">
        <color theme="0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5">
    <xf numFmtId="0" fontId="0" fillId="0" borderId="0"/>
    <xf numFmtId="165" fontId="5" fillId="0" borderId="0" applyFont="0" applyFill="0" applyBorder="0" applyAlignment="0" applyProtection="0"/>
    <xf numFmtId="167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7" fontId="3" fillId="0" borderId="0" applyFont="0" applyFill="0" applyBorder="0" applyAlignment="0" applyProtection="0"/>
    <xf numFmtId="0" fontId="29" fillId="0" borderId="0"/>
    <xf numFmtId="43" fontId="2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166" fontId="2" fillId="0" borderId="0" applyFont="0" applyFill="0" applyBorder="0" applyAlignment="0" applyProtection="0"/>
    <xf numFmtId="0" fontId="44" fillId="0" borderId="0">
      <alignment vertical="top"/>
      <protection locked="0"/>
    </xf>
    <xf numFmtId="0" fontId="4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5">
    <xf numFmtId="0" fontId="0" fillId="0" borderId="0" xfId="0"/>
    <xf numFmtId="0" fontId="0" fillId="0" borderId="0" xfId="0" applyAlignment="1">
      <alignment vertical="justify"/>
    </xf>
    <xf numFmtId="168" fontId="0" fillId="0" borderId="0" xfId="0" applyNumberFormat="1"/>
    <xf numFmtId="49" fontId="0" fillId="0" borderId="0" xfId="0" applyNumberFormat="1"/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justify" vertical="top" wrapText="1"/>
    </xf>
    <xf numFmtId="0" fontId="8" fillId="0" borderId="0" xfId="0" applyFont="1"/>
    <xf numFmtId="0" fontId="9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6" fillId="0" borderId="0" xfId="0" applyFont="1"/>
    <xf numFmtId="0" fontId="8" fillId="0" borderId="0" xfId="0" applyFont="1" applyAlignment="1">
      <alignment vertical="justify"/>
    </xf>
    <xf numFmtId="0" fontId="9" fillId="0" borderId="0" xfId="0" applyFont="1" applyAlignment="1">
      <alignment vertical="justify"/>
    </xf>
    <xf numFmtId="0" fontId="10" fillId="0" borderId="0" xfId="0" applyFont="1" applyAlignment="1">
      <alignment horizontal="center" vertical="justify"/>
    </xf>
    <xf numFmtId="0" fontId="7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justify" wrapText="1"/>
    </xf>
    <xf numFmtId="49" fontId="7" fillId="4" borderId="1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7" fillId="2" borderId="1" xfId="0" applyFont="1" applyFill="1" applyBorder="1" applyAlignment="1">
      <alignment horizontal="left" vertical="top" wrapText="1"/>
    </xf>
    <xf numFmtId="0" fontId="13" fillId="0" borderId="0" xfId="0" applyFont="1"/>
    <xf numFmtId="169" fontId="7" fillId="2" borderId="1" xfId="0" applyNumberFormat="1" applyFont="1" applyFill="1" applyBorder="1" applyAlignment="1">
      <alignment horizontal="left" vertical="top" wrapText="1"/>
    </xf>
    <xf numFmtId="0" fontId="14" fillId="0" borderId="0" xfId="0" applyFont="1"/>
    <xf numFmtId="0" fontId="15" fillId="5" borderId="1" xfId="0" applyFont="1" applyFill="1" applyBorder="1" applyAlignment="1">
      <alignment horizontal="center" vertical="top" wrapText="1"/>
    </xf>
    <xf numFmtId="169" fontId="15" fillId="5" borderId="1" xfId="0" applyNumberFormat="1" applyFont="1" applyFill="1" applyBorder="1" applyAlignment="1">
      <alignment horizontal="center" vertical="top" wrapText="1"/>
    </xf>
    <xf numFmtId="168" fontId="15" fillId="5" borderId="1" xfId="0" applyNumberFormat="1" applyFont="1" applyFill="1" applyBorder="1" applyAlignment="1">
      <alignment horizontal="center" vertical="top" wrapText="1"/>
    </xf>
    <xf numFmtId="0" fontId="18" fillId="0" borderId="0" xfId="0" applyFont="1"/>
    <xf numFmtId="0" fontId="7" fillId="0" borderId="0" xfId="0" applyFont="1"/>
    <xf numFmtId="0" fontId="17" fillId="0" borderId="0" xfId="0" applyFont="1"/>
    <xf numFmtId="166" fontId="17" fillId="0" borderId="17" xfId="2" applyNumberFormat="1" applyFont="1" applyFill="1" applyBorder="1" applyAlignment="1">
      <alignment horizontal="center"/>
    </xf>
    <xf numFmtId="171" fontId="7" fillId="0" borderId="0" xfId="0" applyNumberFormat="1" applyFont="1"/>
    <xf numFmtId="166" fontId="17" fillId="0" borderId="21" xfId="2" applyNumberFormat="1" applyFont="1" applyFill="1" applyBorder="1" applyAlignment="1"/>
    <xf numFmtId="166" fontId="17" fillId="0" borderId="16" xfId="2" applyNumberFormat="1" applyFont="1" applyFill="1" applyBorder="1" applyAlignment="1">
      <alignment horizontal="right"/>
    </xf>
    <xf numFmtId="171" fontId="17" fillId="0" borderId="0" xfId="0" applyNumberFormat="1" applyFont="1"/>
    <xf numFmtId="0" fontId="7" fillId="0" borderId="0" xfId="0" applyFont="1" applyAlignment="1">
      <alignment horizontal="left"/>
    </xf>
    <xf numFmtId="166" fontId="7" fillId="0" borderId="0" xfId="2" applyNumberFormat="1" applyFont="1" applyFill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19" fillId="0" borderId="0" xfId="0" applyFont="1"/>
    <xf numFmtId="0" fontId="5" fillId="0" borderId="0" xfId="0" applyFont="1"/>
    <xf numFmtId="0" fontId="11" fillId="0" borderId="0" xfId="0" applyFont="1"/>
    <xf numFmtId="0" fontId="20" fillId="0" borderId="0" xfId="0" applyFont="1"/>
    <xf numFmtId="0" fontId="21" fillId="0" borderId="0" xfId="0" applyFont="1"/>
    <xf numFmtId="4" fontId="22" fillId="0" borderId="0" xfId="0" applyNumberFormat="1" applyFont="1" applyAlignment="1">
      <alignment horizontal="center"/>
    </xf>
    <xf numFmtId="4" fontId="11" fillId="0" borderId="0" xfId="0" applyNumberFormat="1" applyFont="1"/>
    <xf numFmtId="0" fontId="23" fillId="0" borderId="0" xfId="0" applyFont="1"/>
    <xf numFmtId="0" fontId="24" fillId="0" borderId="0" xfId="0" applyFont="1" applyAlignment="1">
      <alignment horizontal="center"/>
    </xf>
    <xf numFmtId="4" fontId="5" fillId="0" borderId="0" xfId="0" applyNumberFormat="1" applyFont="1"/>
    <xf numFmtId="4" fontId="10" fillId="0" borderId="0" xfId="0" applyNumberFormat="1" applyFont="1"/>
    <xf numFmtId="0" fontId="10" fillId="0" borderId="0" xfId="0" applyFont="1"/>
    <xf numFmtId="173" fontId="11" fillId="0" borderId="0" xfId="0" applyNumberFormat="1" applyFont="1"/>
    <xf numFmtId="0" fontId="4" fillId="0" borderId="0" xfId="0" applyFont="1"/>
    <xf numFmtId="166" fontId="17" fillId="0" borderId="33" xfId="2" applyNumberFormat="1" applyFont="1" applyFill="1" applyBorder="1" applyAlignment="1">
      <alignment horizontal="right"/>
    </xf>
    <xf numFmtId="0" fontId="0" fillId="0" borderId="0" xfId="0" pivotButton="1"/>
    <xf numFmtId="0" fontId="10" fillId="0" borderId="0" xfId="0" applyFont="1" applyAlignment="1">
      <alignment horizontal="center"/>
    </xf>
    <xf numFmtId="167" fontId="4" fillId="0" borderId="0" xfId="2" applyFont="1"/>
    <xf numFmtId="167" fontId="0" fillId="0" borderId="0" xfId="2" applyFont="1"/>
    <xf numFmtId="174" fontId="4" fillId="0" borderId="0" xfId="0" applyNumberFormat="1" applyFont="1"/>
    <xf numFmtId="0" fontId="7" fillId="0" borderId="0" xfId="0" applyFont="1" applyAlignment="1">
      <alignment vertical="top"/>
    </xf>
    <xf numFmtId="0" fontId="0" fillId="0" borderId="0" xfId="0" applyAlignment="1" applyProtection="1">
      <alignment vertical="top"/>
      <protection locked="0"/>
    </xf>
    <xf numFmtId="0" fontId="27" fillId="0" borderId="0" xfId="0" applyFont="1"/>
    <xf numFmtId="14" fontId="0" fillId="0" borderId="0" xfId="0" applyNumberFormat="1"/>
    <xf numFmtId="0" fontId="7" fillId="4" borderId="8" xfId="0" applyFont="1" applyFill="1" applyBorder="1" applyAlignment="1">
      <alignment horizontal="center" vertical="center" wrapText="1"/>
    </xf>
    <xf numFmtId="0" fontId="0" fillId="0" borderId="36" xfId="0" applyBorder="1"/>
    <xf numFmtId="0" fontId="0" fillId="0" borderId="37" xfId="0" applyBorder="1"/>
    <xf numFmtId="0" fontId="0" fillId="0" borderId="0" xfId="0" applyAlignment="1">
      <alignment horizontal="center"/>
    </xf>
    <xf numFmtId="0" fontId="16" fillId="9" borderId="13" xfId="0" applyFont="1" applyFill="1" applyBorder="1" applyAlignment="1">
      <alignment horizontal="center" vertical="top" wrapText="1"/>
    </xf>
    <xf numFmtId="17" fontId="7" fillId="4" borderId="29" xfId="0" applyNumberFormat="1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17" fillId="0" borderId="5" xfId="0" applyFont="1" applyBorder="1" applyAlignment="1">
      <alignment horizontal="left"/>
    </xf>
    <xf numFmtId="0" fontId="7" fillId="0" borderId="41" xfId="0" applyFont="1" applyBorder="1" applyAlignment="1">
      <alignment horizontal="left"/>
    </xf>
    <xf numFmtId="0" fontId="17" fillId="0" borderId="39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166" fontId="7" fillId="0" borderId="0" xfId="2" applyNumberFormat="1" applyFont="1" applyFill="1" applyBorder="1"/>
    <xf numFmtId="4" fontId="0" fillId="0" borderId="0" xfId="0" applyNumberFormat="1"/>
    <xf numFmtId="0" fontId="17" fillId="0" borderId="0" xfId="0" applyFont="1" applyAlignment="1">
      <alignment horizontal="center"/>
    </xf>
    <xf numFmtId="0" fontId="17" fillId="0" borderId="5" xfId="0" applyFont="1" applyBorder="1"/>
    <xf numFmtId="0" fontId="17" fillId="0" borderId="36" xfId="0" applyFont="1" applyBorder="1"/>
    <xf numFmtId="167" fontId="17" fillId="0" borderId="36" xfId="2" applyFont="1" applyBorder="1"/>
    <xf numFmtId="167" fontId="0" fillId="0" borderId="8" xfId="2" applyFont="1" applyBorder="1"/>
    <xf numFmtId="168" fontId="15" fillId="0" borderId="0" xfId="0" applyNumberFormat="1" applyFont="1" applyAlignment="1">
      <alignment vertical="top" wrapText="1"/>
    </xf>
    <xf numFmtId="169" fontId="15" fillId="0" borderId="0" xfId="0" applyNumberFormat="1" applyFont="1" applyAlignment="1">
      <alignment vertical="top" wrapText="1"/>
    </xf>
    <xf numFmtId="0" fontId="31" fillId="7" borderId="1" xfId="8" applyFill="1" applyBorder="1" applyAlignment="1">
      <alignment horizontal="center" vertical="justify"/>
    </xf>
    <xf numFmtId="0" fontId="31" fillId="6" borderId="1" xfId="8" applyFill="1" applyBorder="1" applyAlignment="1">
      <alignment horizontal="center" vertical="justify"/>
    </xf>
    <xf numFmtId="0" fontId="17" fillId="0" borderId="8" xfId="0" applyFont="1" applyBorder="1"/>
    <xf numFmtId="0" fontId="17" fillId="0" borderId="37" xfId="0" applyFont="1" applyBorder="1"/>
    <xf numFmtId="0" fontId="17" fillId="0" borderId="30" xfId="0" applyFont="1" applyBorder="1"/>
    <xf numFmtId="0" fontId="7" fillId="0" borderId="24" xfId="0" applyFont="1" applyBorder="1" applyAlignment="1">
      <alignment horizontal="left"/>
    </xf>
    <xf numFmtId="0" fontId="7" fillId="0" borderId="43" xfId="0" applyFont="1" applyBorder="1" applyAlignment="1">
      <alignment horizontal="left"/>
    </xf>
    <xf numFmtId="0" fontId="7" fillId="0" borderId="39" xfId="0" applyFont="1" applyBorder="1" applyAlignment="1">
      <alignment horizontal="left"/>
    </xf>
    <xf numFmtId="0" fontId="7" fillId="0" borderId="40" xfId="0" applyFont="1" applyBorder="1" applyAlignment="1">
      <alignment horizontal="left"/>
    </xf>
    <xf numFmtId="0" fontId="17" fillId="0" borderId="43" xfId="0" applyFont="1" applyBorder="1" applyAlignment="1">
      <alignment horizontal="left"/>
    </xf>
    <xf numFmtId="0" fontId="17" fillId="0" borderId="40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0" fontId="17" fillId="0" borderId="22" xfId="0" applyFont="1" applyBorder="1" applyAlignment="1">
      <alignment horizontal="left"/>
    </xf>
    <xf numFmtId="0" fontId="17" fillId="0" borderId="41" xfId="0" applyFont="1" applyBorder="1" applyAlignment="1">
      <alignment horizontal="left"/>
    </xf>
    <xf numFmtId="0" fontId="17" fillId="4" borderId="25" xfId="0" applyFont="1" applyFill="1" applyBorder="1"/>
    <xf numFmtId="0" fontId="7" fillId="4" borderId="26" xfId="0" applyFont="1" applyFill="1" applyBorder="1"/>
    <xf numFmtId="17" fontId="7" fillId="4" borderId="3" xfId="0" applyNumberFormat="1" applyFont="1" applyFill="1" applyBorder="1" applyAlignment="1">
      <alignment horizontal="center"/>
    </xf>
    <xf numFmtId="172" fontId="7" fillId="4" borderId="3" xfId="0" applyNumberFormat="1" applyFont="1" applyFill="1" applyBorder="1" applyAlignment="1">
      <alignment horizontal="center"/>
    </xf>
    <xf numFmtId="4" fontId="17" fillId="0" borderId="12" xfId="0" applyNumberFormat="1" applyFont="1" applyBorder="1"/>
    <xf numFmtId="4" fontId="17" fillId="0" borderId="14" xfId="0" applyNumberFormat="1" applyFont="1" applyBorder="1"/>
    <xf numFmtId="4" fontId="7" fillId="0" borderId="0" xfId="0" applyNumberFormat="1" applyFont="1"/>
    <xf numFmtId="4" fontId="32" fillId="3" borderId="12" xfId="0" applyNumberFormat="1" applyFont="1" applyFill="1" applyBorder="1"/>
    <xf numFmtId="4" fontId="17" fillId="3" borderId="14" xfId="0" applyNumberFormat="1" applyFont="1" applyFill="1" applyBorder="1"/>
    <xf numFmtId="167" fontId="17" fillId="0" borderId="27" xfId="2" applyFont="1" applyFill="1" applyBorder="1"/>
    <xf numFmtId="167" fontId="17" fillId="3" borderId="28" xfId="2" applyFont="1" applyFill="1" applyBorder="1"/>
    <xf numFmtId="0" fontId="15" fillId="0" borderId="0" xfId="0" applyFont="1" applyAlignment="1">
      <alignment vertical="top"/>
    </xf>
    <xf numFmtId="0" fontId="18" fillId="0" borderId="0" xfId="0" applyFont="1" applyAlignment="1">
      <alignment vertical="center"/>
    </xf>
    <xf numFmtId="4" fontId="17" fillId="0" borderId="0" xfId="0" applyNumberFormat="1" applyFont="1"/>
    <xf numFmtId="4" fontId="32" fillId="4" borderId="12" xfId="0" applyNumberFormat="1" applyFont="1" applyFill="1" applyBorder="1"/>
    <xf numFmtId="4" fontId="7" fillId="4" borderId="14" xfId="0" applyNumberFormat="1" applyFont="1" applyFill="1" applyBorder="1"/>
    <xf numFmtId="4" fontId="32" fillId="0" borderId="5" xfId="0" applyNumberFormat="1" applyFont="1" applyBorder="1"/>
    <xf numFmtId="167" fontId="7" fillId="0" borderId="36" xfId="2" applyFont="1" applyFill="1" applyBorder="1"/>
    <xf numFmtId="9" fontId="7" fillId="0" borderId="36" xfId="3" applyFont="1" applyFill="1" applyBorder="1"/>
    <xf numFmtId="9" fontId="7" fillId="0" borderId="37" xfId="3" applyFont="1" applyFill="1" applyBorder="1"/>
    <xf numFmtId="0" fontId="7" fillId="0" borderId="6" xfId="0" applyFont="1" applyBorder="1"/>
    <xf numFmtId="0" fontId="7" fillId="0" borderId="9" xfId="0" applyFont="1" applyBorder="1"/>
    <xf numFmtId="0" fontId="7" fillId="4" borderId="1" xfId="0" applyFont="1" applyFill="1" applyBorder="1" applyAlignment="1">
      <alignment horizontal="center"/>
    </xf>
    <xf numFmtId="167" fontId="7" fillId="0" borderId="36" xfId="2" applyFont="1" applyBorder="1"/>
    <xf numFmtId="14" fontId="7" fillId="0" borderId="36" xfId="0" applyNumberFormat="1" applyFont="1" applyBorder="1"/>
    <xf numFmtId="167" fontId="7" fillId="4" borderId="1" xfId="2" applyFont="1" applyFill="1" applyBorder="1"/>
    <xf numFmtId="0" fontId="0" fillId="0" borderId="0" xfId="0" applyAlignment="1">
      <alignment horizontal="right" vertical="top"/>
    </xf>
    <xf numFmtId="0" fontId="4" fillId="8" borderId="0" xfId="0" applyFont="1" applyFill="1"/>
    <xf numFmtId="0" fontId="10" fillId="11" borderId="2" xfId="0" applyFont="1" applyFill="1" applyBorder="1" applyAlignment="1">
      <alignment vertical="top" wrapText="1"/>
    </xf>
    <xf numFmtId="0" fontId="10" fillId="11" borderId="2" xfId="0" applyFont="1" applyFill="1" applyBorder="1" applyAlignment="1">
      <alignment horizontal="center" vertical="top" wrapText="1"/>
    </xf>
    <xf numFmtId="0" fontId="10" fillId="11" borderId="3" xfId="0" applyFont="1" applyFill="1" applyBorder="1" applyAlignment="1">
      <alignment horizontal="center" vertical="top" wrapText="1"/>
    </xf>
    <xf numFmtId="0" fontId="10" fillId="11" borderId="4" xfId="0" applyFont="1" applyFill="1" applyBorder="1" applyAlignment="1">
      <alignment horizontal="center" vertical="top" wrapText="1"/>
    </xf>
    <xf numFmtId="0" fontId="10" fillId="11" borderId="5" xfId="0" applyFont="1" applyFill="1" applyBorder="1" applyAlignment="1">
      <alignment horizontal="center" vertical="top" wrapText="1"/>
    </xf>
    <xf numFmtId="0" fontId="10" fillId="11" borderId="6" xfId="0" applyFont="1" applyFill="1" applyBorder="1" applyAlignment="1">
      <alignment horizontal="center" vertical="top" wrapText="1"/>
    </xf>
    <xf numFmtId="0" fontId="10" fillId="11" borderId="7" xfId="0" applyFont="1" applyFill="1" applyBorder="1" applyAlignment="1">
      <alignment horizontal="center" vertical="top" wrapText="1"/>
    </xf>
    <xf numFmtId="0" fontId="10" fillId="11" borderId="8" xfId="0" applyFont="1" applyFill="1" applyBorder="1" applyAlignment="1">
      <alignment vertical="top" wrapText="1"/>
    </xf>
    <xf numFmtId="0" fontId="10" fillId="11" borderId="9" xfId="0" applyFont="1" applyFill="1" applyBorder="1" applyAlignment="1">
      <alignment vertical="top" wrapText="1"/>
    </xf>
    <xf numFmtId="0" fontId="10" fillId="11" borderId="10" xfId="0" applyFont="1" applyFill="1" applyBorder="1" applyAlignment="1">
      <alignment vertical="top" wrapText="1"/>
    </xf>
    <xf numFmtId="4" fontId="36" fillId="0" borderId="13" xfId="0" applyNumberFormat="1" applyFont="1" applyBorder="1"/>
    <xf numFmtId="166" fontId="17" fillId="0" borderId="13" xfId="2" applyNumberFormat="1" applyFont="1" applyFill="1" applyBorder="1" applyAlignment="1"/>
    <xf numFmtId="4" fontId="35" fillId="0" borderId="0" xfId="0" applyNumberFormat="1" applyFont="1"/>
    <xf numFmtId="0" fontId="35" fillId="0" borderId="0" xfId="0" applyFont="1"/>
    <xf numFmtId="0" fontId="10" fillId="0" borderId="0" xfId="0" pivotButton="1" applyFont="1"/>
    <xf numFmtId="167" fontId="14" fillId="0" borderId="0" xfId="2" applyFont="1"/>
    <xf numFmtId="167" fontId="10" fillId="0" borderId="0" xfId="2" applyFont="1"/>
    <xf numFmtId="164" fontId="0" fillId="0" borderId="0" xfId="0" applyNumberFormat="1" applyAlignment="1" applyProtection="1">
      <alignment vertical="top"/>
      <protection locked="0"/>
    </xf>
    <xf numFmtId="164" fontId="0" fillId="0" borderId="0" xfId="0" applyNumberFormat="1"/>
    <xf numFmtId="167" fontId="0" fillId="0" borderId="0" xfId="2" applyFont="1" applyFill="1" applyBorder="1"/>
    <xf numFmtId="0" fontId="0" fillId="14" borderId="0" xfId="0" applyFill="1"/>
    <xf numFmtId="0" fontId="0" fillId="14" borderId="0" xfId="0" applyFill="1" applyAlignment="1">
      <alignment horizontal="center"/>
    </xf>
    <xf numFmtId="0" fontId="38" fillId="15" borderId="0" xfId="0" applyFont="1" applyFill="1" applyAlignment="1">
      <alignment horizontal="center"/>
    </xf>
    <xf numFmtId="0" fontId="0" fillId="17" borderId="0" xfId="0" applyFill="1" applyAlignment="1">
      <alignment horizontal="center"/>
    </xf>
    <xf numFmtId="0" fontId="0" fillId="17" borderId="0" xfId="0" applyFill="1"/>
    <xf numFmtId="0" fontId="12" fillId="0" borderId="0" xfId="0" applyFont="1" applyAlignment="1" applyProtection="1">
      <alignment vertical="top"/>
      <protection locked="0"/>
    </xf>
    <xf numFmtId="0" fontId="12" fillId="14" borderId="0" xfId="0" applyFont="1" applyFill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7" fontId="0" fillId="0" borderId="0" xfId="2" applyFont="1" applyBorder="1"/>
    <xf numFmtId="167" fontId="17" fillId="0" borderId="0" xfId="2" applyFont="1" applyFill="1" applyBorder="1" applyAlignment="1">
      <alignment horizontal="center"/>
    </xf>
    <xf numFmtId="17" fontId="39" fillId="0" borderId="0" xfId="0" applyNumberFormat="1" applyFont="1" applyAlignment="1">
      <alignment horizontal="center" vertical="center"/>
    </xf>
    <xf numFmtId="0" fontId="12" fillId="0" borderId="46" xfId="0" applyFont="1" applyBorder="1"/>
    <xf numFmtId="167" fontId="0" fillId="0" borderId="46" xfId="2" applyFont="1" applyFill="1" applyBorder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49" fontId="10" fillId="19" borderId="12" xfId="0" applyNumberFormat="1" applyFont="1" applyFill="1" applyBorder="1" applyAlignment="1">
      <alignment horizontal="center" vertical="center"/>
    </xf>
    <xf numFmtId="49" fontId="10" fillId="19" borderId="29" xfId="0" applyNumberFormat="1" applyFont="1" applyFill="1" applyBorder="1" applyAlignment="1">
      <alignment horizontal="center" vertical="center"/>
    </xf>
    <xf numFmtId="168" fontId="10" fillId="19" borderId="29" xfId="0" applyNumberFormat="1" applyFont="1" applyFill="1" applyBorder="1" applyAlignment="1">
      <alignment horizontal="center" vertical="center"/>
    </xf>
    <xf numFmtId="0" fontId="10" fillId="19" borderId="29" xfId="0" applyFont="1" applyFill="1" applyBorder="1" applyAlignment="1">
      <alignment horizontal="center" vertical="center"/>
    </xf>
    <xf numFmtId="17" fontId="0" fillId="0" borderId="0" xfId="0" applyNumberFormat="1"/>
    <xf numFmtId="0" fontId="0" fillId="0" borderId="6" xfId="0" applyBorder="1"/>
    <xf numFmtId="0" fontId="10" fillId="0" borderId="9" xfId="0" applyFont="1" applyBorder="1"/>
    <xf numFmtId="0" fontId="5" fillId="0" borderId="6" xfId="0" applyFont="1" applyBorder="1"/>
    <xf numFmtId="167" fontId="0" fillId="0" borderId="5" xfId="2" applyFont="1" applyBorder="1"/>
    <xf numFmtId="167" fontId="10" fillId="0" borderId="8" xfId="2" applyFont="1" applyBorder="1"/>
    <xf numFmtId="167" fontId="10" fillId="0" borderId="11" xfId="2" applyFont="1" applyBorder="1"/>
    <xf numFmtId="167" fontId="0" fillId="0" borderId="3" xfId="2" applyFont="1" applyBorder="1"/>
    <xf numFmtId="167" fontId="0" fillId="0" borderId="6" xfId="2" applyFont="1" applyBorder="1"/>
    <xf numFmtId="167" fontId="10" fillId="0" borderId="9" xfId="2" applyFont="1" applyBorder="1"/>
    <xf numFmtId="14" fontId="7" fillId="0" borderId="0" xfId="0" applyNumberFormat="1" applyFont="1" applyAlignment="1">
      <alignment vertical="top" wrapText="1"/>
    </xf>
    <xf numFmtId="170" fontId="7" fillId="22" borderId="23" xfId="4" applyNumberFormat="1" applyFont="1" applyFill="1" applyBorder="1" applyAlignment="1">
      <alignment horizontal="center"/>
    </xf>
    <xf numFmtId="170" fontId="43" fillId="23" borderId="23" xfId="4" applyNumberFormat="1" applyFont="1" applyFill="1" applyBorder="1" applyAlignment="1">
      <alignment horizontal="center"/>
    </xf>
    <xf numFmtId="166" fontId="43" fillId="23" borderId="13" xfId="9" applyFont="1" applyFill="1" applyBorder="1" applyAlignment="1">
      <alignment horizontal="center"/>
    </xf>
    <xf numFmtId="49" fontId="43" fillId="23" borderId="23" xfId="4" applyNumberFormat="1" applyFont="1" applyFill="1" applyBorder="1" applyAlignment="1">
      <alignment horizontal="center"/>
    </xf>
    <xf numFmtId="4" fontId="35" fillId="12" borderId="0" xfId="0" applyNumberFormat="1" applyFont="1" applyFill="1" applyAlignment="1">
      <alignment horizontal="right" vertical="center" wrapText="1"/>
    </xf>
    <xf numFmtId="166" fontId="5" fillId="0" borderId="13" xfId="2" applyNumberFormat="1" applyFont="1" applyFill="1" applyBorder="1" applyAlignment="1">
      <alignment horizontal="right"/>
    </xf>
    <xf numFmtId="4" fontId="35" fillId="0" borderId="13" xfId="0" applyNumberFormat="1" applyFont="1" applyBorder="1"/>
    <xf numFmtId="166" fontId="17" fillId="0" borderId="49" xfId="2" applyNumberFormat="1" applyFont="1" applyFill="1" applyBorder="1" applyAlignment="1">
      <alignment horizontal="center"/>
    </xf>
    <xf numFmtId="166" fontId="17" fillId="0" borderId="7" xfId="2" applyNumberFormat="1" applyFont="1" applyFill="1" applyBorder="1" applyAlignment="1">
      <alignment horizontal="center"/>
    </xf>
    <xf numFmtId="4" fontId="35" fillId="12" borderId="13" xfId="0" applyNumberFormat="1" applyFont="1" applyFill="1" applyBorder="1" applyAlignment="1">
      <alignment horizontal="right" vertical="center" wrapText="1"/>
    </xf>
    <xf numFmtId="14" fontId="0" fillId="0" borderId="0" xfId="0" applyNumberFormat="1" applyAlignment="1" applyProtection="1">
      <alignment vertical="top"/>
      <protection locked="0"/>
    </xf>
    <xf numFmtId="0" fontId="45" fillId="0" borderId="0" xfId="10" applyFont="1">
      <alignment vertical="top"/>
      <protection locked="0"/>
    </xf>
    <xf numFmtId="164" fontId="45" fillId="0" borderId="0" xfId="10" applyNumberFormat="1" applyFont="1">
      <alignment vertical="top"/>
      <protection locked="0"/>
    </xf>
    <xf numFmtId="17" fontId="4" fillId="0" borderId="0" xfId="0" applyNumberFormat="1" applyFont="1"/>
    <xf numFmtId="167" fontId="4" fillId="16" borderId="9" xfId="2" applyFont="1" applyFill="1" applyBorder="1"/>
    <xf numFmtId="0" fontId="17" fillId="0" borderId="2" xfId="0" applyFont="1" applyBorder="1"/>
    <xf numFmtId="0" fontId="17" fillId="0" borderId="52" xfId="0" applyFont="1" applyBorder="1"/>
    <xf numFmtId="0" fontId="0" fillId="0" borderId="52" xfId="0" applyBorder="1"/>
    <xf numFmtId="0" fontId="0" fillId="24" borderId="0" xfId="0" applyFill="1"/>
    <xf numFmtId="0" fontId="46" fillId="25" borderId="12" xfId="0" applyFont="1" applyFill="1" applyBorder="1" applyAlignment="1">
      <alignment horizontal="center"/>
    </xf>
    <xf numFmtId="0" fontId="46" fillId="25" borderId="14" xfId="0" applyFont="1" applyFill="1" applyBorder="1" applyAlignment="1">
      <alignment horizontal="center"/>
    </xf>
    <xf numFmtId="0" fontId="46" fillId="25" borderId="15" xfId="0" applyFont="1" applyFill="1" applyBorder="1" applyAlignment="1">
      <alignment horizontal="center"/>
    </xf>
    <xf numFmtId="0" fontId="49" fillId="6" borderId="0" xfId="0" applyFont="1" applyFill="1"/>
    <xf numFmtId="0" fontId="4" fillId="24" borderId="0" xfId="11" applyFill="1"/>
    <xf numFmtId="0" fontId="10" fillId="24" borderId="0" xfId="11" applyFont="1" applyFill="1" applyAlignment="1">
      <alignment vertical="top" wrapText="1"/>
    </xf>
    <xf numFmtId="0" fontId="51" fillId="26" borderId="0" xfId="12" applyFont="1" applyFill="1" applyAlignment="1">
      <alignment horizontal="center"/>
    </xf>
    <xf numFmtId="14" fontId="51" fillId="26" borderId="0" xfId="12" applyNumberFormat="1" applyFont="1" applyFill="1" applyAlignment="1">
      <alignment horizontal="center"/>
    </xf>
    <xf numFmtId="0" fontId="10" fillId="24" borderId="0" xfId="11" applyFont="1" applyFill="1" applyAlignment="1">
      <alignment horizontal="justify" vertical="top" wrapText="1"/>
    </xf>
    <xf numFmtId="0" fontId="1" fillId="0" borderId="0" xfId="12"/>
    <xf numFmtId="43" fontId="1" fillId="0" borderId="0" xfId="12" applyNumberFormat="1"/>
    <xf numFmtId="0" fontId="47" fillId="0" borderId="0" xfId="12" applyFont="1"/>
    <xf numFmtId="43" fontId="1" fillId="0" borderId="1" xfId="12" applyNumberFormat="1" applyBorder="1"/>
    <xf numFmtId="0" fontId="46" fillId="26" borderId="53" xfId="12" applyFont="1" applyFill="1" applyBorder="1" applyAlignment="1">
      <alignment horizontal="center"/>
    </xf>
    <xf numFmtId="0" fontId="46" fillId="26" borderId="54" xfId="12" applyFont="1" applyFill="1" applyBorder="1" applyAlignment="1">
      <alignment horizontal="center"/>
    </xf>
    <xf numFmtId="0" fontId="46" fillId="26" borderId="55" xfId="12" applyFont="1" applyFill="1" applyBorder="1" applyAlignment="1">
      <alignment horizontal="center"/>
    </xf>
    <xf numFmtId="0" fontId="1" fillId="0" borderId="53" xfId="12" applyBorder="1"/>
    <xf numFmtId="43" fontId="0" fillId="0" borderId="53" xfId="13" applyFont="1" applyBorder="1"/>
    <xf numFmtId="43" fontId="47" fillId="0" borderId="53" xfId="13" applyFont="1" applyBorder="1"/>
    <xf numFmtId="43" fontId="0" fillId="18" borderId="53" xfId="13" applyFont="1" applyFill="1" applyBorder="1"/>
    <xf numFmtId="10" fontId="0" fillId="18" borderId="53" xfId="14" applyNumberFormat="1" applyFont="1" applyFill="1" applyBorder="1"/>
    <xf numFmtId="43" fontId="0" fillId="18" borderId="56" xfId="13" applyFont="1" applyFill="1" applyBorder="1"/>
    <xf numFmtId="43" fontId="0" fillId="0" borderId="57" xfId="13" applyFont="1" applyBorder="1"/>
    <xf numFmtId="0" fontId="1" fillId="0" borderId="58" xfId="12" applyBorder="1"/>
    <xf numFmtId="0" fontId="1" fillId="0" borderId="59" xfId="12" applyBorder="1"/>
    <xf numFmtId="0" fontId="1" fillId="0" borderId="60" xfId="12" applyBorder="1"/>
    <xf numFmtId="0" fontId="46" fillId="26" borderId="0" xfId="12" applyFont="1" applyFill="1" applyAlignment="1">
      <alignment horizontal="center"/>
    </xf>
    <xf numFmtId="0" fontId="46" fillId="26" borderId="61" xfId="12" applyFont="1" applyFill="1" applyBorder="1" applyAlignment="1">
      <alignment horizontal="center" vertical="center"/>
    </xf>
    <xf numFmtId="0" fontId="46" fillId="26" borderId="61" xfId="12" applyFont="1" applyFill="1" applyBorder="1" applyAlignment="1">
      <alignment horizontal="center"/>
    </xf>
    <xf numFmtId="14" fontId="46" fillId="26" borderId="61" xfId="12" applyNumberFormat="1" applyFont="1" applyFill="1" applyBorder="1"/>
    <xf numFmtId="14" fontId="46" fillId="26" borderId="61" xfId="12" applyNumberFormat="1" applyFont="1" applyFill="1" applyBorder="1" applyAlignment="1">
      <alignment horizontal="center" vertical="center"/>
    </xf>
    <xf numFmtId="0" fontId="46" fillId="26" borderId="61" xfId="12" applyFont="1" applyFill="1" applyBorder="1"/>
    <xf numFmtId="0" fontId="46" fillId="26" borderId="62" xfId="12" applyFont="1" applyFill="1" applyBorder="1"/>
    <xf numFmtId="0" fontId="1" fillId="26" borderId="0" xfId="12" applyFill="1"/>
    <xf numFmtId="0" fontId="8" fillId="24" borderId="0" xfId="11" applyFont="1" applyFill="1"/>
    <xf numFmtId="0" fontId="48" fillId="24" borderId="0" xfId="11" applyFont="1" applyFill="1" applyAlignment="1">
      <alignment horizontal="center" vertical="top"/>
    </xf>
    <xf numFmtId="9" fontId="48" fillId="24" borderId="0" xfId="11" applyNumberFormat="1" applyFont="1" applyFill="1"/>
    <xf numFmtId="0" fontId="10" fillId="27" borderId="13" xfId="11" applyFont="1" applyFill="1" applyBorder="1"/>
    <xf numFmtId="175" fontId="4" fillId="24" borderId="13" xfId="13" applyNumberFormat="1" applyFont="1" applyFill="1" applyBorder="1" applyAlignment="1">
      <alignment vertical="justify"/>
    </xf>
    <xf numFmtId="9" fontId="4" fillId="24" borderId="13" xfId="14" applyFont="1" applyFill="1" applyBorder="1" applyAlignment="1">
      <alignment horizontal="left"/>
    </xf>
    <xf numFmtId="0" fontId="10" fillId="24" borderId="0" xfId="11" applyFont="1" applyFill="1" applyAlignment="1">
      <alignment horizontal="center" vertical="top"/>
    </xf>
    <xf numFmtId="0" fontId="10" fillId="20" borderId="13" xfId="11" applyFont="1" applyFill="1" applyBorder="1"/>
    <xf numFmtId="0" fontId="10" fillId="13" borderId="13" xfId="11" applyFont="1" applyFill="1" applyBorder="1"/>
    <xf numFmtId="0" fontId="10" fillId="28" borderId="50" xfId="11" applyFont="1" applyFill="1" applyBorder="1"/>
    <xf numFmtId="0" fontId="10" fillId="24" borderId="0" xfId="11" applyFont="1" applyFill="1"/>
    <xf numFmtId="17" fontId="7" fillId="29" borderId="45" xfId="0" applyNumberFormat="1" applyFont="1" applyFill="1" applyBorder="1" applyAlignment="1">
      <alignment horizontal="center"/>
    </xf>
    <xf numFmtId="17" fontId="7" fillId="29" borderId="1" xfId="0" applyNumberFormat="1" applyFont="1" applyFill="1" applyBorder="1" applyAlignment="1">
      <alignment horizontal="center"/>
    </xf>
    <xf numFmtId="0" fontId="7" fillId="29" borderId="24" xfId="0" applyFont="1" applyFill="1" applyBorder="1" applyAlignment="1">
      <alignment horizontal="left"/>
    </xf>
    <xf numFmtId="166" fontId="7" fillId="29" borderId="13" xfId="2" applyNumberFormat="1" applyFont="1" applyFill="1" applyBorder="1" applyAlignment="1"/>
    <xf numFmtId="166" fontId="7" fillId="29" borderId="21" xfId="2" applyNumberFormat="1" applyFont="1" applyFill="1" applyBorder="1" applyAlignment="1"/>
    <xf numFmtId="166" fontId="7" fillId="29" borderId="20" xfId="2" applyNumberFormat="1" applyFont="1" applyFill="1" applyBorder="1" applyAlignment="1">
      <alignment horizontal="center"/>
    </xf>
    <xf numFmtId="166" fontId="7" fillId="29" borderId="19" xfId="2" applyNumberFormat="1" applyFont="1" applyFill="1" applyBorder="1" applyAlignment="1"/>
    <xf numFmtId="0" fontId="7" fillId="29" borderId="44" xfId="0" applyFont="1" applyFill="1" applyBorder="1" applyAlignment="1">
      <alignment horizontal="left"/>
    </xf>
    <xf numFmtId="166" fontId="7" fillId="29" borderId="42" xfId="2" applyNumberFormat="1" applyFont="1" applyFill="1" applyBorder="1" applyAlignment="1"/>
    <xf numFmtId="166" fontId="7" fillId="29" borderId="32" xfId="2" applyNumberFormat="1" applyFont="1" applyFill="1" applyBorder="1" applyAlignment="1">
      <alignment horizontal="center"/>
    </xf>
    <xf numFmtId="0" fontId="7" fillId="29" borderId="15" xfId="0" applyFont="1" applyFill="1" applyBorder="1" applyAlignment="1">
      <alignment horizontal="left"/>
    </xf>
    <xf numFmtId="166" fontId="7" fillId="29" borderId="37" xfId="2" applyNumberFormat="1" applyFont="1" applyFill="1" applyBorder="1"/>
    <xf numFmtId="166" fontId="7" fillId="29" borderId="34" xfId="2" applyNumberFormat="1" applyFont="1" applyFill="1" applyBorder="1" applyAlignment="1">
      <alignment horizontal="center"/>
    </xf>
    <xf numFmtId="0" fontId="7" fillId="29" borderId="12" xfId="0" applyFont="1" applyFill="1" applyBorder="1" applyAlignment="1">
      <alignment horizontal="left"/>
    </xf>
    <xf numFmtId="0" fontId="7" fillId="29" borderId="18" xfId="0" applyFont="1" applyFill="1" applyBorder="1" applyAlignment="1">
      <alignment horizontal="left"/>
    </xf>
    <xf numFmtId="0" fontId="7" fillId="29" borderId="31" xfId="0" applyFont="1" applyFill="1" applyBorder="1" applyAlignment="1">
      <alignment horizontal="left"/>
    </xf>
    <xf numFmtId="166" fontId="7" fillId="29" borderId="51" xfId="2" applyNumberFormat="1" applyFont="1" applyFill="1" applyBorder="1" applyAlignment="1">
      <alignment horizontal="center"/>
    </xf>
    <xf numFmtId="166" fontId="7" fillId="29" borderId="38" xfId="2" applyNumberFormat="1" applyFont="1" applyFill="1" applyBorder="1" applyAlignment="1">
      <alignment horizontal="center"/>
    </xf>
    <xf numFmtId="166" fontId="7" fillId="29" borderId="48" xfId="2" applyNumberFormat="1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4" fontId="17" fillId="6" borderId="6" xfId="0" applyNumberFormat="1" applyFont="1" applyFill="1" applyBorder="1" applyAlignment="1">
      <alignment horizontal="center"/>
    </xf>
    <xf numFmtId="10" fontId="17" fillId="6" borderId="6" xfId="0" applyNumberFormat="1" applyFont="1" applyFill="1" applyBorder="1" applyAlignment="1">
      <alignment horizontal="center"/>
    </xf>
    <xf numFmtId="167" fontId="17" fillId="6" borderId="9" xfId="2" applyFont="1" applyFill="1" applyBorder="1" applyAlignment="1">
      <alignment horizontal="center"/>
    </xf>
    <xf numFmtId="167" fontId="53" fillId="6" borderId="36" xfId="2" applyFont="1" applyFill="1" applyBorder="1" applyAlignment="1">
      <alignment horizontal="center"/>
    </xf>
    <xf numFmtId="0" fontId="10" fillId="6" borderId="12" xfId="0" applyFont="1" applyFill="1" applyBorder="1" applyAlignment="1">
      <alignment vertical="top"/>
    </xf>
    <xf numFmtId="0" fontId="10" fillId="6" borderId="29" xfId="0" applyFont="1" applyFill="1" applyBorder="1" applyAlignment="1">
      <alignment vertical="top"/>
    </xf>
    <xf numFmtId="167" fontId="10" fillId="6" borderId="29" xfId="2" applyFont="1" applyFill="1" applyBorder="1" applyAlignment="1">
      <alignment vertical="top"/>
    </xf>
    <xf numFmtId="9" fontId="10" fillId="6" borderId="29" xfId="3" applyFont="1" applyFill="1" applyBorder="1" applyAlignment="1">
      <alignment vertical="top"/>
    </xf>
    <xf numFmtId="0" fontId="43" fillId="24" borderId="0" xfId="0" applyFont="1" applyFill="1" applyAlignment="1">
      <alignment vertical="top"/>
    </xf>
    <xf numFmtId="169" fontId="43" fillId="24" borderId="0" xfId="0" applyNumberFormat="1" applyFont="1" applyFill="1" applyAlignment="1">
      <alignment vertical="top" wrapText="1"/>
    </xf>
    <xf numFmtId="168" fontId="43" fillId="24" borderId="0" xfId="0" applyNumberFormat="1" applyFont="1" applyFill="1" applyAlignment="1">
      <alignment vertical="top" wrapText="1"/>
    </xf>
    <xf numFmtId="0" fontId="12" fillId="29" borderId="0" xfId="0" applyFont="1" applyFill="1"/>
    <xf numFmtId="0" fontId="41" fillId="29" borderId="0" xfId="0" applyFont="1" applyFill="1"/>
    <xf numFmtId="49" fontId="10" fillId="29" borderId="12" xfId="0" applyNumberFormat="1" applyFont="1" applyFill="1" applyBorder="1" applyAlignment="1">
      <alignment horizontal="center" vertical="center" wrapText="1"/>
    </xf>
    <xf numFmtId="49" fontId="10" fillId="29" borderId="29" xfId="0" applyNumberFormat="1" applyFont="1" applyFill="1" applyBorder="1" applyAlignment="1">
      <alignment horizontal="center" vertical="center" wrapText="1"/>
    </xf>
    <xf numFmtId="168" fontId="10" fillId="29" borderId="29" xfId="0" applyNumberFormat="1" applyFont="1" applyFill="1" applyBorder="1" applyAlignment="1">
      <alignment horizontal="center" vertical="center" wrapText="1"/>
    </xf>
    <xf numFmtId="0" fontId="10" fillId="29" borderId="29" xfId="0" applyFont="1" applyFill="1" applyBorder="1" applyAlignment="1">
      <alignment horizontal="center" vertical="center" wrapText="1"/>
    </xf>
    <xf numFmtId="167" fontId="53" fillId="6" borderId="36" xfId="2" applyFont="1" applyFill="1" applyBorder="1"/>
    <xf numFmtId="167" fontId="53" fillId="6" borderId="37" xfId="2" applyFont="1" applyFill="1" applyBorder="1"/>
    <xf numFmtId="167" fontId="42" fillId="29" borderId="0" xfId="2" applyFont="1" applyFill="1" applyBorder="1"/>
    <xf numFmtId="167" fontId="4" fillId="0" borderId="6" xfId="2" applyFont="1" applyBorder="1" applyAlignment="1">
      <alignment horizontal="center"/>
    </xf>
    <xf numFmtId="167" fontId="0" fillId="0" borderId="0" xfId="2" applyFont="1" applyAlignment="1">
      <alignment horizontal="center"/>
    </xf>
    <xf numFmtId="167" fontId="14" fillId="0" borderId="46" xfId="2" applyFont="1" applyBorder="1"/>
    <xf numFmtId="167" fontId="0" fillId="0" borderId="46" xfId="2" applyFont="1" applyBorder="1"/>
    <xf numFmtId="167" fontId="0" fillId="0" borderId="46" xfId="2" applyFont="1" applyBorder="1" applyAlignment="1">
      <alignment horizontal="center"/>
    </xf>
    <xf numFmtId="167" fontId="4" fillId="0" borderId="47" xfId="2" applyFont="1" applyBorder="1" applyAlignment="1">
      <alignment horizontal="center"/>
    </xf>
    <xf numFmtId="167" fontId="4" fillId="0" borderId="9" xfId="2" applyFont="1" applyBorder="1" applyAlignment="1">
      <alignment horizontal="center"/>
    </xf>
    <xf numFmtId="0" fontId="12" fillId="29" borderId="1" xfId="0" applyFont="1" applyFill="1" applyBorder="1"/>
    <xf numFmtId="17" fontId="39" fillId="29" borderId="12" xfId="0" applyNumberFormat="1" applyFont="1" applyFill="1" applyBorder="1" applyAlignment="1">
      <alignment horizontal="center" vertical="center"/>
    </xf>
    <xf numFmtId="17" fontId="39" fillId="29" borderId="14" xfId="0" applyNumberFormat="1" applyFont="1" applyFill="1" applyBorder="1" applyAlignment="1">
      <alignment horizontal="center" vertical="center"/>
    </xf>
    <xf numFmtId="17" fontId="39" fillId="29" borderId="15" xfId="0" applyNumberFormat="1" applyFont="1" applyFill="1" applyBorder="1" applyAlignment="1">
      <alignment horizontal="center" vertical="center"/>
    </xf>
    <xf numFmtId="0" fontId="10" fillId="29" borderId="1" xfId="0" applyFont="1" applyFill="1" applyBorder="1" applyAlignment="1">
      <alignment horizontal="center"/>
    </xf>
    <xf numFmtId="0" fontId="10" fillId="29" borderId="1" xfId="0" applyFont="1" applyFill="1" applyBorder="1"/>
    <xf numFmtId="167" fontId="10" fillId="29" borderId="12" xfId="2" applyFont="1" applyFill="1" applyBorder="1"/>
    <xf numFmtId="167" fontId="10" fillId="29" borderId="14" xfId="2" applyFont="1" applyFill="1" applyBorder="1"/>
    <xf numFmtId="167" fontId="10" fillId="29" borderId="1" xfId="2" applyFont="1" applyFill="1" applyBorder="1"/>
    <xf numFmtId="0" fontId="15" fillId="24" borderId="0" xfId="0" applyFont="1" applyFill="1" applyAlignment="1">
      <alignment vertical="top" wrapText="1"/>
    </xf>
    <xf numFmtId="169" fontId="15" fillId="24" borderId="0" xfId="0" applyNumberFormat="1" applyFont="1" applyFill="1" applyAlignment="1">
      <alignment vertical="top" wrapText="1"/>
    </xf>
    <xf numFmtId="168" fontId="15" fillId="24" borderId="0" xfId="0" applyNumberFormat="1" applyFont="1" applyFill="1" applyAlignment="1">
      <alignment vertical="top" wrapText="1"/>
    </xf>
    <xf numFmtId="0" fontId="10" fillId="29" borderId="0" xfId="0" applyFont="1" applyFill="1"/>
    <xf numFmtId="0" fontId="18" fillId="29" borderId="0" xfId="0" applyFont="1" applyFill="1" applyAlignment="1">
      <alignment horizontal="center"/>
    </xf>
    <xf numFmtId="167" fontId="10" fillId="29" borderId="0" xfId="2" applyFont="1" applyFill="1"/>
    <xf numFmtId="167" fontId="0" fillId="29" borderId="0" xfId="2" applyFont="1" applyFill="1"/>
    <xf numFmtId="0" fontId="10" fillId="29" borderId="12" xfId="0" applyFont="1" applyFill="1" applyBorder="1" applyAlignment="1">
      <alignment horizontal="left"/>
    </xf>
    <xf numFmtId="0" fontId="10" fillId="29" borderId="14" xfId="0" applyFont="1" applyFill="1" applyBorder="1" applyAlignment="1">
      <alignment horizontal="left"/>
    </xf>
    <xf numFmtId="0" fontId="10" fillId="29" borderId="15" xfId="0" applyFont="1" applyFill="1" applyBorder="1" applyAlignment="1">
      <alignment horizontal="left"/>
    </xf>
    <xf numFmtId="174" fontId="4" fillId="6" borderId="0" xfId="0" applyNumberFormat="1" applyFont="1" applyFill="1"/>
    <xf numFmtId="174" fontId="0" fillId="6" borderId="0" xfId="0" applyNumberFormat="1" applyFill="1"/>
    <xf numFmtId="0" fontId="0" fillId="6" borderId="0" xfId="0" applyFill="1"/>
    <xf numFmtId="167" fontId="4" fillId="6" borderId="0" xfId="2" applyFont="1" applyFill="1"/>
    <xf numFmtId="167" fontId="0" fillId="6" borderId="0" xfId="2" applyFont="1" applyFill="1"/>
    <xf numFmtId="0" fontId="55" fillId="0" borderId="63" xfId="0" applyFont="1" applyBorder="1" applyAlignment="1">
      <alignment horizontal="center" vertical="center" wrapText="1"/>
    </xf>
    <xf numFmtId="0" fontId="56" fillId="0" borderId="64" xfId="0" applyFont="1" applyBorder="1" applyAlignment="1">
      <alignment horizontal="center" vertical="center" wrapText="1"/>
    </xf>
    <xf numFmtId="0" fontId="56" fillId="0" borderId="65" xfId="0" applyFont="1" applyBorder="1" applyAlignment="1">
      <alignment horizontal="center" vertical="center" wrapText="1"/>
    </xf>
    <xf numFmtId="0" fontId="56" fillId="0" borderId="66" xfId="0" applyFont="1" applyBorder="1" applyAlignment="1">
      <alignment horizontal="center" vertical="center" wrapText="1"/>
    </xf>
    <xf numFmtId="0" fontId="58" fillId="0" borderId="63" xfId="0" applyFont="1" applyBorder="1" applyAlignment="1">
      <alignment horizontal="center" vertical="center" wrapText="1"/>
    </xf>
    <xf numFmtId="0" fontId="57" fillId="0" borderId="63" xfId="0" applyFont="1" applyBorder="1" applyAlignment="1">
      <alignment horizontal="center" vertical="center" wrapText="1"/>
    </xf>
    <xf numFmtId="17" fontId="57" fillId="0" borderId="63" xfId="0" applyNumberFormat="1" applyFont="1" applyBorder="1" applyAlignment="1">
      <alignment horizontal="center" vertical="center" wrapText="1"/>
    </xf>
    <xf numFmtId="0" fontId="57" fillId="0" borderId="63" xfId="0" applyFont="1" applyBorder="1" applyAlignment="1">
      <alignment horizontal="right" vertical="center" wrapText="1"/>
    </xf>
    <xf numFmtId="4" fontId="57" fillId="0" borderId="63" xfId="0" applyNumberFormat="1" applyFont="1" applyBorder="1" applyAlignment="1">
      <alignment horizontal="right" vertical="center" wrapText="1"/>
    </xf>
    <xf numFmtId="0" fontId="54" fillId="0" borderId="0" xfId="0" applyFont="1" applyAlignment="1">
      <alignment horizontal="left" vertical="center" wrapText="1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4" fontId="54" fillId="0" borderId="0" xfId="0" applyNumberFormat="1" applyFont="1" applyAlignment="1">
      <alignment horizontal="right" vertical="center" wrapText="1"/>
    </xf>
    <xf numFmtId="0" fontId="54" fillId="0" borderId="0" xfId="0" applyFont="1" applyAlignment="1">
      <alignment horizontal="right" vertical="center" wrapText="1"/>
    </xf>
    <xf numFmtId="0" fontId="59" fillId="0" borderId="0" xfId="0" applyFont="1" applyAlignment="1">
      <alignment vertical="center" wrapText="1"/>
    </xf>
    <xf numFmtId="0" fontId="59" fillId="0" borderId="0" xfId="0" applyFont="1" applyAlignment="1">
      <alignment horizontal="left" vertical="center" wrapText="1"/>
    </xf>
    <xf numFmtId="4" fontId="59" fillId="0" borderId="0" xfId="0" applyNumberFormat="1" applyFont="1" applyAlignment="1">
      <alignment horizontal="right" vertical="center" wrapText="1"/>
    </xf>
    <xf numFmtId="0" fontId="59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4" fontId="4" fillId="0" borderId="0" xfId="0" applyNumberFormat="1" applyFont="1" applyAlignment="1">
      <alignment horizontal="right" vertical="center" wrapText="1"/>
    </xf>
    <xf numFmtId="4" fontId="4" fillId="0" borderId="75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4" fontId="10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17" fontId="35" fillId="0" borderId="13" xfId="0" applyNumberFormat="1" applyFont="1" applyBorder="1" applyAlignment="1">
      <alignment horizontal="right"/>
    </xf>
    <xf numFmtId="17" fontId="45" fillId="0" borderId="0" xfId="10" applyNumberFormat="1" applyFont="1">
      <alignment vertical="top"/>
      <protection locked="0"/>
    </xf>
    <xf numFmtId="0" fontId="0" fillId="29" borderId="0" xfId="0" applyFill="1"/>
    <xf numFmtId="0" fontId="54" fillId="0" borderId="69" xfId="0" applyFont="1" applyBorder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64" fillId="0" borderId="63" xfId="0" applyFont="1" applyBorder="1" applyAlignment="1">
      <alignment horizontal="center" vertical="center" wrapText="1"/>
    </xf>
    <xf numFmtId="0" fontId="63" fillId="0" borderId="63" xfId="0" applyFont="1" applyBorder="1" applyAlignment="1">
      <alignment horizontal="center" vertical="center" wrapText="1"/>
    </xf>
    <xf numFmtId="17" fontId="63" fillId="0" borderId="63" xfId="0" applyNumberFormat="1" applyFont="1" applyBorder="1" applyAlignment="1">
      <alignment horizontal="center" vertical="center" wrapText="1"/>
    </xf>
    <xf numFmtId="0" fontId="63" fillId="0" borderId="63" xfId="0" applyFont="1" applyBorder="1" applyAlignment="1">
      <alignment horizontal="right" vertical="center" wrapText="1"/>
    </xf>
    <xf numFmtId="4" fontId="63" fillId="0" borderId="63" xfId="0" applyNumberFormat="1" applyFont="1" applyBorder="1" applyAlignment="1">
      <alignment horizontal="right" vertical="center" wrapText="1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4" fillId="0" borderId="69" xfId="0" applyFont="1" applyBorder="1" applyAlignment="1">
      <alignment vertical="center" wrapText="1"/>
    </xf>
    <xf numFmtId="0" fontId="57" fillId="0" borderId="67" xfId="0" applyFont="1" applyBorder="1" applyAlignment="1">
      <alignment vertical="center" wrapText="1"/>
    </xf>
    <xf numFmtId="0" fontId="57" fillId="0" borderId="68" xfId="0" applyFont="1" applyBorder="1" applyAlignment="1">
      <alignment vertical="center" wrapText="1"/>
    </xf>
    <xf numFmtId="0" fontId="5" fillId="0" borderId="64" xfId="0" applyFont="1" applyBorder="1" applyAlignment="1">
      <alignment vertical="center" wrapText="1"/>
    </xf>
    <xf numFmtId="0" fontId="5" fillId="0" borderId="65" xfId="0" applyFont="1" applyBorder="1" applyAlignment="1">
      <alignment vertical="center" wrapText="1"/>
    </xf>
    <xf numFmtId="0" fontId="5" fillId="0" borderId="66" xfId="0" applyFont="1" applyBorder="1" applyAlignment="1">
      <alignment vertical="center" wrapText="1"/>
    </xf>
    <xf numFmtId="0" fontId="0" fillId="0" borderId="69" xfId="0" applyBorder="1" applyAlignment="1">
      <alignment vertical="center" wrapText="1"/>
    </xf>
    <xf numFmtId="0" fontId="0" fillId="0" borderId="70" xfId="0" applyBorder="1" applyAlignment="1">
      <alignment vertical="center" wrapText="1"/>
    </xf>
    <xf numFmtId="0" fontId="0" fillId="0" borderId="71" xfId="0" applyBorder="1" applyAlignment="1">
      <alignment vertical="center" wrapText="1"/>
    </xf>
    <xf numFmtId="4" fontId="54" fillId="0" borderId="79" xfId="0" applyNumberFormat="1" applyFont="1" applyBorder="1" applyAlignment="1">
      <alignment vertical="center" wrapText="1"/>
    </xf>
    <xf numFmtId="4" fontId="54" fillId="0" borderId="80" xfId="0" applyNumberFormat="1" applyFont="1" applyBorder="1" applyAlignment="1">
      <alignment vertical="center" wrapText="1"/>
    </xf>
    <xf numFmtId="0" fontId="54" fillId="0" borderId="75" xfId="0" applyFont="1" applyBorder="1" applyAlignment="1">
      <alignment vertical="center" wrapText="1"/>
    </xf>
    <xf numFmtId="4" fontId="59" fillId="0" borderId="0" xfId="0" applyNumberFormat="1" applyFont="1" applyAlignment="1">
      <alignment vertical="center" wrapText="1"/>
    </xf>
    <xf numFmtId="4" fontId="59" fillId="0" borderId="75" xfId="0" applyNumberFormat="1" applyFont="1" applyBorder="1" applyAlignment="1">
      <alignment vertical="center" wrapText="1"/>
    </xf>
    <xf numFmtId="0" fontId="61" fillId="30" borderId="67" xfId="0" applyFont="1" applyFill="1" applyBorder="1" applyAlignment="1">
      <alignment vertical="center" wrapText="1"/>
    </xf>
    <xf numFmtId="0" fontId="61" fillId="30" borderId="78" xfId="0" applyFont="1" applyFill="1" applyBorder="1" applyAlignment="1">
      <alignment vertical="center" wrapText="1"/>
    </xf>
    <xf numFmtId="0" fontId="61" fillId="30" borderId="68" xfId="0" applyFont="1" applyFill="1" applyBorder="1" applyAlignment="1">
      <alignment vertical="center" wrapText="1"/>
    </xf>
    <xf numFmtId="0" fontId="54" fillId="0" borderId="81" xfId="0" applyFont="1" applyBorder="1" applyAlignment="1">
      <alignment vertical="center" wrapText="1"/>
    </xf>
    <xf numFmtId="0" fontId="62" fillId="30" borderId="72" xfId="0" applyFont="1" applyFill="1" applyBorder="1" applyAlignment="1">
      <alignment vertical="center" wrapText="1"/>
    </xf>
    <xf numFmtId="0" fontId="62" fillId="30" borderId="73" xfId="0" applyFont="1" applyFill="1" applyBorder="1" applyAlignment="1">
      <alignment vertical="center" wrapText="1"/>
    </xf>
    <xf numFmtId="0" fontId="62" fillId="30" borderId="74" xfId="0" applyFont="1" applyFill="1" applyBorder="1" applyAlignment="1">
      <alignment vertical="center" wrapText="1"/>
    </xf>
    <xf numFmtId="0" fontId="63" fillId="0" borderId="67" xfId="0" applyFont="1" applyBorder="1" applyAlignment="1">
      <alignment vertical="center" wrapText="1"/>
    </xf>
    <xf numFmtId="0" fontId="63" fillId="0" borderId="68" xfId="0" applyFont="1" applyBorder="1" applyAlignment="1">
      <alignment vertical="center" wrapText="1"/>
    </xf>
    <xf numFmtId="0" fontId="54" fillId="0" borderId="83" xfId="0" applyFont="1" applyBorder="1" applyAlignment="1">
      <alignment vertical="center" wrapText="1"/>
    </xf>
    <xf numFmtId="4" fontId="59" fillId="0" borderId="77" xfId="0" applyNumberFormat="1" applyFont="1" applyBorder="1" applyAlignment="1">
      <alignment vertical="center" wrapText="1"/>
    </xf>
    <xf numFmtId="4" fontId="59" fillId="0" borderId="76" xfId="0" applyNumberFormat="1" applyFont="1" applyBorder="1" applyAlignment="1">
      <alignment vertical="center" wrapText="1"/>
    </xf>
    <xf numFmtId="0" fontId="54" fillId="0" borderId="77" xfId="0" applyFont="1" applyBorder="1" applyAlignment="1">
      <alignment vertical="center" wrapText="1"/>
    </xf>
    <xf numFmtId="0" fontId="54" fillId="0" borderId="76" xfId="0" applyFont="1" applyBorder="1" applyAlignment="1">
      <alignment vertical="center" wrapText="1"/>
    </xf>
    <xf numFmtId="4" fontId="54" fillId="0" borderId="0" xfId="0" applyNumberFormat="1" applyFont="1" applyAlignment="1">
      <alignment vertical="center" wrapText="1"/>
    </xf>
    <xf numFmtId="4" fontId="54" fillId="0" borderId="75" xfId="0" applyNumberFormat="1" applyFont="1" applyBorder="1" applyAlignment="1">
      <alignment vertical="center" wrapText="1"/>
    </xf>
    <xf numFmtId="0" fontId="54" fillId="0" borderId="79" xfId="0" applyFont="1" applyBorder="1" applyAlignment="1">
      <alignment vertical="center" wrapText="1"/>
    </xf>
    <xf numFmtId="0" fontId="54" fillId="0" borderId="80" xfId="0" applyFont="1" applyBorder="1" applyAlignment="1">
      <alignment vertical="center" wrapText="1"/>
    </xf>
    <xf numFmtId="0" fontId="60" fillId="0" borderId="0" xfId="0" applyFont="1" applyAlignment="1">
      <alignment vertical="center" wrapText="1"/>
    </xf>
    <xf numFmtId="0" fontId="60" fillId="0" borderId="75" xfId="0" applyFont="1" applyBorder="1" applyAlignment="1">
      <alignment vertical="center" wrapText="1"/>
    </xf>
    <xf numFmtId="0" fontId="65" fillId="30" borderId="72" xfId="0" applyFont="1" applyFill="1" applyBorder="1" applyAlignment="1">
      <alignment vertical="center" wrapText="1"/>
    </xf>
    <xf numFmtId="0" fontId="65" fillId="30" borderId="73" xfId="0" applyFont="1" applyFill="1" applyBorder="1" applyAlignment="1">
      <alignment vertical="center" wrapText="1"/>
    </xf>
    <xf numFmtId="0" fontId="65" fillId="30" borderId="74" xfId="0" applyFont="1" applyFill="1" applyBorder="1" applyAlignment="1">
      <alignment vertical="center" wrapText="1"/>
    </xf>
    <xf numFmtId="4" fontId="4" fillId="0" borderId="79" xfId="0" applyNumberFormat="1" applyFont="1" applyBorder="1" applyAlignment="1">
      <alignment vertical="center" wrapText="1"/>
    </xf>
    <xf numFmtId="4" fontId="4" fillId="0" borderId="80" xfId="0" applyNumberFormat="1" applyFont="1" applyBorder="1" applyAlignment="1">
      <alignment vertical="center" wrapText="1"/>
    </xf>
    <xf numFmtId="0" fontId="4" fillId="0" borderId="75" xfId="0" applyFont="1" applyBorder="1" applyAlignment="1">
      <alignment vertical="center" wrapText="1"/>
    </xf>
    <xf numFmtId="4" fontId="10" fillId="0" borderId="0" xfId="0" applyNumberFormat="1" applyFont="1" applyAlignment="1">
      <alignment vertical="center" wrapText="1"/>
    </xf>
    <xf numFmtId="4" fontId="10" fillId="0" borderId="75" xfId="0" applyNumberFormat="1" applyFont="1" applyBorder="1" applyAlignment="1">
      <alignment vertical="center" wrapText="1"/>
    </xf>
    <xf numFmtId="0" fontId="66" fillId="0" borderId="0" xfId="0" applyFont="1" applyAlignment="1">
      <alignment vertical="center" wrapText="1"/>
    </xf>
    <xf numFmtId="0" fontId="66" fillId="0" borderId="75" xfId="0" applyFont="1" applyBorder="1" applyAlignment="1">
      <alignment vertical="center" wrapText="1"/>
    </xf>
    <xf numFmtId="4" fontId="4" fillId="0" borderId="0" xfId="0" applyNumberFormat="1" applyFont="1" applyAlignment="1">
      <alignment vertical="center" wrapText="1"/>
    </xf>
    <xf numFmtId="4" fontId="4" fillId="0" borderId="75" xfId="0" applyNumberFormat="1" applyFont="1" applyBorder="1" applyAlignment="1">
      <alignment vertical="center" wrapText="1"/>
    </xf>
    <xf numFmtId="0" fontId="4" fillId="0" borderId="79" xfId="0" applyFont="1" applyBorder="1" applyAlignment="1">
      <alignment vertical="center" wrapText="1"/>
    </xf>
    <xf numFmtId="0" fontId="4" fillId="0" borderId="80" xfId="0" applyFont="1" applyBorder="1" applyAlignment="1">
      <alignment vertical="center" wrapText="1"/>
    </xf>
    <xf numFmtId="0" fontId="4" fillId="0" borderId="77" xfId="0" applyFont="1" applyBorder="1" applyAlignment="1">
      <alignment vertical="center" wrapText="1"/>
    </xf>
    <xf numFmtId="0" fontId="4" fillId="0" borderId="76" xfId="0" applyFont="1" applyBorder="1" applyAlignment="1">
      <alignment vertical="center" wrapText="1"/>
    </xf>
    <xf numFmtId="0" fontId="4" fillId="0" borderId="83" xfId="0" applyFont="1" applyBorder="1" applyAlignment="1">
      <alignment vertical="center" wrapText="1"/>
    </xf>
    <xf numFmtId="4" fontId="10" fillId="0" borderId="81" xfId="0" applyNumberFormat="1" applyFont="1" applyBorder="1" applyAlignment="1">
      <alignment vertical="center" wrapText="1"/>
    </xf>
    <xf numFmtId="4" fontId="10" fillId="0" borderId="82" xfId="0" applyNumberFormat="1" applyFont="1" applyBorder="1" applyAlignment="1">
      <alignment vertical="center" wrapText="1"/>
    </xf>
    <xf numFmtId="0" fontId="59" fillId="30" borderId="72" xfId="0" applyFont="1" applyFill="1" applyBorder="1" applyAlignment="1">
      <alignment vertical="center" wrapText="1"/>
    </xf>
    <xf numFmtId="0" fontId="59" fillId="30" borderId="73" xfId="0" applyFont="1" applyFill="1" applyBorder="1" applyAlignment="1">
      <alignment vertical="center" wrapText="1"/>
    </xf>
    <xf numFmtId="0" fontId="59" fillId="30" borderId="74" xfId="0" applyFont="1" applyFill="1" applyBorder="1" applyAlignment="1">
      <alignment vertical="center" wrapText="1"/>
    </xf>
    <xf numFmtId="0" fontId="54" fillId="0" borderId="82" xfId="0" applyFont="1" applyBorder="1" applyAlignment="1">
      <alignment vertical="center" wrapText="1"/>
    </xf>
    <xf numFmtId="4" fontId="59" fillId="0" borderId="81" xfId="0" applyNumberFormat="1" applyFont="1" applyBorder="1" applyAlignment="1">
      <alignment vertical="center" wrapText="1"/>
    </xf>
    <xf numFmtId="4" fontId="59" fillId="0" borderId="82" xfId="0" applyNumberFormat="1" applyFont="1" applyBorder="1" applyAlignment="1">
      <alignment vertical="center" wrapText="1"/>
    </xf>
    <xf numFmtId="4" fontId="10" fillId="0" borderId="77" xfId="0" applyNumberFormat="1" applyFont="1" applyBorder="1" applyAlignment="1">
      <alignment vertical="center" wrapText="1"/>
    </xf>
    <xf numFmtId="4" fontId="10" fillId="0" borderId="76" xfId="0" applyNumberFormat="1" applyFont="1" applyBorder="1" applyAlignment="1">
      <alignment vertical="center" wrapText="1"/>
    </xf>
    <xf numFmtId="0" fontId="67" fillId="30" borderId="67" xfId="0" applyFont="1" applyFill="1" applyBorder="1" applyAlignment="1">
      <alignment vertical="center" wrapText="1"/>
    </xf>
    <xf numFmtId="0" fontId="67" fillId="30" borderId="78" xfId="0" applyFont="1" applyFill="1" applyBorder="1" applyAlignment="1">
      <alignment vertical="center" wrapText="1"/>
    </xf>
    <xf numFmtId="0" fontId="67" fillId="30" borderId="68" xfId="0" applyFont="1" applyFill="1" applyBorder="1" applyAlignment="1">
      <alignment vertical="center" wrapText="1"/>
    </xf>
    <xf numFmtId="0" fontId="4" fillId="0" borderId="81" xfId="0" applyFont="1" applyBorder="1" applyAlignment="1">
      <alignment vertical="center" wrapText="1"/>
    </xf>
    <xf numFmtId="0" fontId="68" fillId="30" borderId="72" xfId="0" applyFont="1" applyFill="1" applyBorder="1" applyAlignment="1">
      <alignment vertical="center" wrapText="1"/>
    </xf>
    <xf numFmtId="0" fontId="68" fillId="30" borderId="73" xfId="0" applyFont="1" applyFill="1" applyBorder="1" applyAlignment="1">
      <alignment vertical="center" wrapText="1"/>
    </xf>
    <xf numFmtId="0" fontId="68" fillId="30" borderId="74" xfId="0" applyFont="1" applyFill="1" applyBorder="1" applyAlignment="1">
      <alignment vertical="center" wrapText="1"/>
    </xf>
    <xf numFmtId="0" fontId="4" fillId="0" borderId="82" xfId="0" applyFont="1" applyBorder="1" applyAlignment="1">
      <alignment vertical="center" wrapText="1"/>
    </xf>
    <xf numFmtId="170" fontId="4" fillId="0" borderId="36" xfId="0" applyNumberFormat="1" applyFont="1" applyBorder="1"/>
    <xf numFmtId="167" fontId="4" fillId="0" borderId="36" xfId="2" applyFont="1" applyFill="1" applyBorder="1"/>
    <xf numFmtId="170" fontId="4" fillId="0" borderId="36" xfId="0" applyNumberFormat="1" applyFont="1" applyBorder="1" applyAlignment="1">
      <alignment horizontal="center"/>
    </xf>
    <xf numFmtId="167" fontId="4" fillId="0" borderId="37" xfId="2" applyFont="1" applyFill="1" applyBorder="1"/>
    <xf numFmtId="170" fontId="4" fillId="0" borderId="37" xfId="0" applyNumberFormat="1" applyFont="1" applyBorder="1" applyAlignment="1">
      <alignment horizontal="center"/>
    </xf>
    <xf numFmtId="167" fontId="4" fillId="0" borderId="0" xfId="2" applyFont="1" applyFill="1" applyBorder="1"/>
    <xf numFmtId="170" fontId="4" fillId="0" borderId="0" xfId="0" applyNumberFormat="1" applyFont="1" applyAlignment="1">
      <alignment horizontal="center"/>
    </xf>
    <xf numFmtId="167" fontId="4" fillId="0" borderId="0" xfId="2" applyFont="1" applyAlignment="1">
      <alignment horizontal="center"/>
    </xf>
    <xf numFmtId="167" fontId="4" fillId="0" borderId="46" xfId="2" applyFont="1" applyFill="1" applyBorder="1"/>
    <xf numFmtId="167" fontId="4" fillId="0" borderId="46" xfId="2" applyFont="1" applyBorder="1" applyAlignment="1">
      <alignment horizontal="center"/>
    </xf>
    <xf numFmtId="167" fontId="4" fillId="0" borderId="52" xfId="2" applyFont="1" applyFill="1" applyBorder="1"/>
    <xf numFmtId="0" fontId="4" fillId="10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vertical="justify"/>
    </xf>
    <xf numFmtId="0" fontId="4" fillId="0" borderId="0" xfId="0" applyFont="1" applyAlignment="1">
      <alignment horizontal="left"/>
    </xf>
    <xf numFmtId="0" fontId="4" fillId="7" borderId="1" xfId="0" applyFont="1" applyFill="1" applyBorder="1" applyAlignment="1">
      <alignment vertical="justify"/>
    </xf>
    <xf numFmtId="0" fontId="4" fillId="6" borderId="1" xfId="0" applyFont="1" applyFill="1" applyBorder="1" applyAlignment="1">
      <alignment vertical="justify"/>
    </xf>
    <xf numFmtId="0" fontId="4" fillId="8" borderId="1" xfId="0" applyFont="1" applyFill="1" applyBorder="1" applyAlignment="1">
      <alignment vertical="justify"/>
    </xf>
    <xf numFmtId="167" fontId="4" fillId="0" borderId="0" xfId="2" applyFont="1" applyAlignment="1">
      <alignment vertical="justify"/>
    </xf>
    <xf numFmtId="0" fontId="52" fillId="26" borderId="0" xfId="12" applyFont="1" applyFill="1" applyAlignment="1">
      <alignment horizontal="center" vertical="center"/>
    </xf>
    <xf numFmtId="0" fontId="1" fillId="26" borderId="0" xfId="12" applyFill="1" applyAlignment="1">
      <alignment horizontal="center"/>
    </xf>
    <xf numFmtId="0" fontId="0" fillId="0" borderId="0" xfId="0" applyAlignment="1">
      <alignment vertical="top" wrapText="1"/>
    </xf>
    <xf numFmtId="0" fontId="34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/>
    <xf numFmtId="0" fontId="4" fillId="0" borderId="0" xfId="0" applyFont="1" applyAlignment="1">
      <alignment vertical="top" wrapText="1"/>
    </xf>
    <xf numFmtId="0" fontId="50" fillId="26" borderId="0" xfId="12" applyFont="1" applyFill="1" applyAlignment="1">
      <alignment horizontal="center" vertical="center"/>
    </xf>
    <xf numFmtId="0" fontId="37" fillId="24" borderId="2" xfId="11" applyFont="1" applyFill="1" applyBorder="1" applyAlignment="1">
      <alignment horizontal="center" vertical="center"/>
    </xf>
    <xf numFmtId="0" fontId="37" fillId="24" borderId="30" xfId="11" applyFont="1" applyFill="1" applyBorder="1" applyAlignment="1">
      <alignment horizontal="center" vertical="center"/>
    </xf>
    <xf numFmtId="0" fontId="37" fillId="24" borderId="4" xfId="11" applyFont="1" applyFill="1" applyBorder="1" applyAlignment="1">
      <alignment horizontal="center" vertical="center"/>
    </xf>
    <xf numFmtId="0" fontId="37" fillId="24" borderId="5" xfId="11" applyFont="1" applyFill="1" applyBorder="1" applyAlignment="1">
      <alignment horizontal="center" vertical="center"/>
    </xf>
    <xf numFmtId="0" fontId="37" fillId="24" borderId="0" xfId="11" applyFont="1" applyFill="1" applyAlignment="1">
      <alignment horizontal="center" vertical="center"/>
    </xf>
    <xf numFmtId="0" fontId="37" fillId="24" borderId="7" xfId="11" applyFont="1" applyFill="1" applyBorder="1" applyAlignment="1">
      <alignment horizontal="center" vertical="center"/>
    </xf>
    <xf numFmtId="0" fontId="37" fillId="24" borderId="8" xfId="11" applyFont="1" applyFill="1" applyBorder="1" applyAlignment="1">
      <alignment horizontal="center" vertical="center"/>
    </xf>
    <xf numFmtId="0" fontId="37" fillId="24" borderId="11" xfId="11" applyFont="1" applyFill="1" applyBorder="1" applyAlignment="1">
      <alignment horizontal="center" vertical="center"/>
    </xf>
    <xf numFmtId="0" fontId="37" fillId="24" borderId="10" xfId="11" applyFont="1" applyFill="1" applyBorder="1" applyAlignment="1">
      <alignment horizontal="center" vertical="center"/>
    </xf>
    <xf numFmtId="0" fontId="43" fillId="24" borderId="0" xfId="0" applyFont="1" applyFill="1" applyAlignment="1">
      <alignment horizontal="center" vertical="top" wrapText="1"/>
    </xf>
    <xf numFmtId="169" fontId="43" fillId="24" borderId="0" xfId="0" applyNumberFormat="1" applyFont="1" applyFill="1" applyAlignment="1">
      <alignment horizontal="center" vertical="top" wrapText="1"/>
    </xf>
    <xf numFmtId="168" fontId="43" fillId="24" borderId="0" xfId="0" applyNumberFormat="1" applyFont="1" applyFill="1" applyAlignment="1">
      <alignment horizontal="center" vertical="top" wrapText="1"/>
    </xf>
    <xf numFmtId="0" fontId="30" fillId="25" borderId="12" xfId="0" applyFont="1" applyFill="1" applyBorder="1" applyAlignment="1">
      <alignment horizontal="center"/>
    </xf>
    <xf numFmtId="0" fontId="30" fillId="25" borderId="14" xfId="0" applyFont="1" applyFill="1" applyBorder="1" applyAlignment="1">
      <alignment horizontal="center"/>
    </xf>
    <xf numFmtId="0" fontId="30" fillId="25" borderId="15" xfId="0" applyFont="1" applyFill="1" applyBorder="1" applyAlignment="1">
      <alignment horizontal="center"/>
    </xf>
    <xf numFmtId="0" fontId="37" fillId="19" borderId="2" xfId="0" applyFont="1" applyFill="1" applyBorder="1" applyAlignment="1">
      <alignment horizontal="left" vertical="top"/>
    </xf>
    <xf numFmtId="0" fontId="37" fillId="19" borderId="30" xfId="0" applyFont="1" applyFill="1" applyBorder="1" applyAlignment="1">
      <alignment horizontal="left" vertical="top"/>
    </xf>
    <xf numFmtId="0" fontId="37" fillId="19" borderId="4" xfId="0" applyFont="1" applyFill="1" applyBorder="1" applyAlignment="1">
      <alignment horizontal="left" vertical="top"/>
    </xf>
    <xf numFmtId="0" fontId="7" fillId="29" borderId="12" xfId="0" applyFont="1" applyFill="1" applyBorder="1" applyAlignment="1">
      <alignment horizontal="center"/>
    </xf>
    <xf numFmtId="0" fontId="7" fillId="29" borderId="35" xfId="0" applyFont="1" applyFill="1" applyBorder="1" applyAlignment="1">
      <alignment horizontal="center"/>
    </xf>
    <xf numFmtId="0" fontId="0" fillId="0" borderId="5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11" xfId="0" applyBorder="1" applyAlignment="1"/>
    <xf numFmtId="0" fontId="0" fillId="0" borderId="10" xfId="0" applyBorder="1" applyAlignment="1"/>
    <xf numFmtId="0" fontId="10" fillId="6" borderId="12" xfId="0" applyFont="1" applyFill="1" applyBorder="1" applyAlignment="1">
      <alignment vertical="top"/>
    </xf>
    <xf numFmtId="0" fontId="10" fillId="6" borderId="14" xfId="0" applyFont="1" applyFill="1" applyBorder="1" applyAlignment="1">
      <alignment vertical="top"/>
    </xf>
    <xf numFmtId="0" fontId="10" fillId="6" borderId="15" xfId="0" applyFont="1" applyFill="1" applyBorder="1" applyAlignment="1">
      <alignment vertical="top"/>
    </xf>
    <xf numFmtId="0" fontId="10" fillId="19" borderId="12" xfId="0" applyFont="1" applyFill="1" applyBorder="1" applyAlignment="1">
      <alignment vertical="center"/>
    </xf>
    <xf numFmtId="0" fontId="10" fillId="19" borderId="14" xfId="0" applyFont="1" applyFill="1" applyBorder="1" applyAlignment="1">
      <alignment vertical="center"/>
    </xf>
    <xf numFmtId="0" fontId="10" fillId="19" borderId="15" xfId="0" applyFont="1" applyFill="1" applyBorder="1" applyAlignment="1">
      <alignment vertical="center"/>
    </xf>
    <xf numFmtId="0" fontId="0" fillId="0" borderId="2" xfId="0" applyBorder="1" applyAlignment="1"/>
    <xf numFmtId="0" fontId="0" fillId="0" borderId="30" xfId="0" applyBorder="1" applyAlignment="1"/>
    <xf numFmtId="0" fontId="0" fillId="0" borderId="4" xfId="0" applyBorder="1" applyAlignment="1"/>
    <xf numFmtId="0" fontId="0" fillId="0" borderId="3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39" fillId="13" borderId="0" xfId="0" applyFont="1" applyFill="1" applyAlignment="1">
      <alignment horizontal="center"/>
    </xf>
    <xf numFmtId="0" fontId="37" fillId="29" borderId="2" xfId="0" applyFont="1" applyFill="1" applyBorder="1" applyAlignment="1">
      <alignment horizontal="center" vertical="top"/>
    </xf>
    <xf numFmtId="0" fontId="37" fillId="29" borderId="4" xfId="0" applyFont="1" applyFill="1" applyBorder="1" applyAlignment="1">
      <alignment horizontal="center" vertical="top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0" fillId="29" borderId="29" xfId="0" applyFont="1" applyFill="1" applyBorder="1" applyAlignment="1">
      <alignment horizontal="center" vertical="center" wrapText="1"/>
    </xf>
    <xf numFmtId="0" fontId="10" fillId="29" borderId="14" xfId="0" applyFont="1" applyFill="1" applyBorder="1" applyAlignment="1">
      <alignment horizontal="center" vertical="center" wrapText="1"/>
    </xf>
    <xf numFmtId="0" fontId="10" fillId="29" borderId="15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" xfId="0" applyBorder="1" applyAlignment="1">
      <alignment horizontal="center"/>
    </xf>
    <xf numFmtId="0" fontId="30" fillId="21" borderId="12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1" borderId="30" xfId="0" applyFont="1" applyFill="1" applyBorder="1" applyAlignment="1">
      <alignment horizontal="center"/>
    </xf>
    <xf numFmtId="0" fontId="30" fillId="21" borderId="15" xfId="0" applyFont="1" applyFill="1" applyBorder="1" applyAlignment="1">
      <alignment horizontal="center"/>
    </xf>
    <xf numFmtId="0" fontId="38" fillId="16" borderId="0" xfId="0" applyFont="1" applyFill="1" applyAlignment="1">
      <alignment horizontal="center"/>
    </xf>
    <xf numFmtId="0" fontId="38" fillId="15" borderId="0" xfId="0" applyFont="1" applyFill="1" applyAlignment="1">
      <alignment horizontal="center"/>
    </xf>
    <xf numFmtId="4" fontId="7" fillId="0" borderId="29" xfId="0" applyNumberFormat="1" applyFont="1" applyBorder="1" applyAlignment="1">
      <alignment horizontal="left"/>
    </xf>
    <xf numFmtId="4" fontId="7" fillId="0" borderId="14" xfId="0" applyNumberFormat="1" applyFont="1" applyBorder="1" applyAlignment="1">
      <alignment horizontal="left"/>
    </xf>
    <xf numFmtId="4" fontId="7" fillId="0" borderId="15" xfId="0" applyNumberFormat="1" applyFont="1" applyBorder="1" applyAlignment="1">
      <alignment horizontal="left"/>
    </xf>
    <xf numFmtId="0" fontId="18" fillId="0" borderId="3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5" fillId="5" borderId="0" xfId="0" applyFont="1" applyFill="1" applyAlignment="1">
      <alignment horizontal="center" vertical="top" wrapText="1"/>
    </xf>
    <xf numFmtId="0" fontId="15" fillId="5" borderId="7" xfId="0" applyFont="1" applyFill="1" applyBorder="1" applyAlignment="1">
      <alignment horizontal="center" vertical="top" wrapText="1"/>
    </xf>
    <xf numFmtId="169" fontId="15" fillId="5" borderId="0" xfId="0" applyNumberFormat="1" applyFont="1" applyFill="1" applyAlignment="1">
      <alignment horizontal="center" vertical="top" wrapText="1"/>
    </xf>
    <xf numFmtId="169" fontId="15" fillId="5" borderId="7" xfId="0" applyNumberFormat="1" applyFont="1" applyFill="1" applyBorder="1" applyAlignment="1">
      <alignment horizontal="center" vertical="top" wrapText="1"/>
    </xf>
    <xf numFmtId="168" fontId="15" fillId="5" borderId="0" xfId="0" applyNumberFormat="1" applyFont="1" applyFill="1" applyAlignment="1">
      <alignment horizontal="center" vertical="top" wrapText="1"/>
    </xf>
    <xf numFmtId="0" fontId="33" fillId="9" borderId="12" xfId="0" applyFont="1" applyFill="1" applyBorder="1" applyAlignment="1">
      <alignment horizontal="center"/>
    </xf>
    <xf numFmtId="0" fontId="33" fillId="9" borderId="14" xfId="0" applyFont="1" applyFill="1" applyBorder="1" applyAlignment="1">
      <alignment horizontal="center"/>
    </xf>
    <xf numFmtId="0" fontId="33" fillId="9" borderId="15" xfId="0" applyFont="1" applyFill="1" applyBorder="1" applyAlignment="1">
      <alignment horizontal="center"/>
    </xf>
    <xf numFmtId="0" fontId="18" fillId="0" borderId="3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top" wrapText="1"/>
    </xf>
    <xf numFmtId="169" fontId="15" fillId="5" borderId="5" xfId="0" applyNumberFormat="1" applyFont="1" applyFill="1" applyBorder="1" applyAlignment="1">
      <alignment horizontal="center" vertical="top" wrapText="1"/>
    </xf>
    <xf numFmtId="168" fontId="15" fillId="5" borderId="5" xfId="0" applyNumberFormat="1" applyFont="1" applyFill="1" applyBorder="1" applyAlignment="1">
      <alignment horizontal="center" vertical="top" wrapText="1"/>
    </xf>
    <xf numFmtId="0" fontId="15" fillId="5" borderId="12" xfId="0" applyFont="1" applyFill="1" applyBorder="1" applyAlignment="1">
      <alignment horizontal="center" vertical="top"/>
    </xf>
    <xf numFmtId="0" fontId="15" fillId="5" borderId="14" xfId="0" applyFont="1" applyFill="1" applyBorder="1" applyAlignment="1">
      <alignment horizontal="center" vertical="top"/>
    </xf>
    <xf numFmtId="0" fontId="15" fillId="5" borderId="15" xfId="0" applyFont="1" applyFill="1" applyBorder="1" applyAlignment="1">
      <alignment horizontal="center" vertical="top"/>
    </xf>
    <xf numFmtId="169" fontId="15" fillId="5" borderId="12" xfId="0" applyNumberFormat="1" applyFont="1" applyFill="1" applyBorder="1" applyAlignment="1">
      <alignment horizontal="center" vertical="top" wrapText="1"/>
    </xf>
    <xf numFmtId="169" fontId="15" fillId="5" borderId="14" xfId="0" applyNumberFormat="1" applyFont="1" applyFill="1" applyBorder="1" applyAlignment="1">
      <alignment horizontal="center" vertical="top" wrapText="1"/>
    </xf>
    <xf numFmtId="169" fontId="15" fillId="5" borderId="15" xfId="0" applyNumberFormat="1" applyFont="1" applyFill="1" applyBorder="1" applyAlignment="1">
      <alignment horizontal="center" vertical="top" wrapText="1"/>
    </xf>
    <xf numFmtId="168" fontId="15" fillId="5" borderId="12" xfId="0" applyNumberFormat="1" applyFont="1" applyFill="1" applyBorder="1" applyAlignment="1">
      <alignment horizontal="center" vertical="top" wrapText="1"/>
    </xf>
    <xf numFmtId="168" fontId="15" fillId="5" borderId="14" xfId="0" applyNumberFormat="1" applyFont="1" applyFill="1" applyBorder="1" applyAlignment="1">
      <alignment horizontal="center" vertical="top" wrapText="1"/>
    </xf>
    <xf numFmtId="0" fontId="69" fillId="24" borderId="0" xfId="11" applyFont="1" applyFill="1"/>
  </cellXfs>
  <cellStyles count="15">
    <cellStyle name="Comma_Sheet1" xfId="1" xr:uid="{00000000-0005-0000-0000-000000000000}"/>
    <cellStyle name="Hipervínculo" xfId="8" builtinId="8"/>
    <cellStyle name="Millares" xfId="2" builtinId="3"/>
    <cellStyle name="Millares 2" xfId="7" xr:uid="{00000000-0005-0000-0000-000002000000}"/>
    <cellStyle name="Millares 3" xfId="13" xr:uid="{86C5DB96-5158-4E29-8D2B-B67CE3EF0077}"/>
    <cellStyle name="Millares 4" xfId="9" xr:uid="{545CF3C1-1CCE-4355-9CAF-60FF647FCDEC}"/>
    <cellStyle name="Millares 7" xfId="5" xr:uid="{00000000-0005-0000-0000-000003000000}"/>
    <cellStyle name="Normal" xfId="0" builtinId="0"/>
    <cellStyle name="Normal 10" xfId="4" xr:uid="{00000000-0005-0000-0000-000005000000}"/>
    <cellStyle name="Normal 2" xfId="6" xr:uid="{00000000-0005-0000-0000-000006000000}"/>
    <cellStyle name="Normal 2 2 2" xfId="11" xr:uid="{92DBCB55-A68C-42C9-88CE-E6D66A585963}"/>
    <cellStyle name="Normal 3" xfId="10" xr:uid="{8D689259-ED5D-48B4-8427-56D20BED0F7B}"/>
    <cellStyle name="Normal 4" xfId="12" xr:uid="{6497912B-E22C-41F4-829C-FB1389ED2FFA}"/>
    <cellStyle name="Porcentaje" xfId="3" builtinId="5"/>
    <cellStyle name="Porcentaje 2" xfId="14" xr:uid="{6F70A38A-F595-4EF0-BF94-DE03EE4EC049}"/>
  </cellStyles>
  <dxfs count="4">
    <dxf>
      <font>
        <b/>
        <i val="0"/>
        <color rgb="FFFF0000"/>
      </font>
      <fill>
        <patternFill>
          <bgColor rgb="FFFFFF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rgb="FFC00000"/>
      </font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66FF33"/>
      <color rgb="FFCCFFFF"/>
      <color rgb="FF35DE00"/>
      <color rgb="FFCCFFCC"/>
      <color rgb="FF1A6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theme" Target="theme/theme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31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submitLink(document.Form1,%22jump$51%22);" TargetMode="External"/><Relationship Id="rId18" Type="http://schemas.openxmlformats.org/officeDocument/2006/relationships/hyperlink" Target="javascript:submitLink(document.Form1,%22jump$73%22);" TargetMode="External"/><Relationship Id="rId26" Type="http://schemas.openxmlformats.org/officeDocument/2006/relationships/hyperlink" Target="javascript:submitLink(document.Form1,%22jump$39%22);" TargetMode="External"/><Relationship Id="rId39" Type="http://schemas.openxmlformats.org/officeDocument/2006/relationships/hyperlink" Target="javascript:submitLink(document.Form1,%22jump$49%22);" TargetMode="External"/><Relationship Id="rId21" Type="http://schemas.openxmlformats.org/officeDocument/2006/relationships/hyperlink" Target="javascript:submitLink(document.Form1,%22jump$4%22);" TargetMode="External"/><Relationship Id="rId34" Type="http://schemas.openxmlformats.org/officeDocument/2006/relationships/hyperlink" Target="javascript:submitLink(document.Form1,%22jump$19%22);" TargetMode="External"/><Relationship Id="rId42" Type="http://schemas.openxmlformats.org/officeDocument/2006/relationships/hyperlink" Target="javascript:submitLink(document.Form1,%22jump$64%22);" TargetMode="External"/><Relationship Id="rId47" Type="http://schemas.openxmlformats.org/officeDocument/2006/relationships/image" Target="../media/image3.png"/><Relationship Id="rId7" Type="http://schemas.openxmlformats.org/officeDocument/2006/relationships/hyperlink" Target="javascript:submitLink(document.Form1,%22jump$20%22);" TargetMode="External"/><Relationship Id="rId2" Type="http://schemas.openxmlformats.org/officeDocument/2006/relationships/image" Target="../media/image1.png"/><Relationship Id="rId16" Type="http://schemas.openxmlformats.org/officeDocument/2006/relationships/hyperlink" Target="javascript:submitLink(document.Form1,%22jump$66%22);" TargetMode="External"/><Relationship Id="rId29" Type="http://schemas.openxmlformats.org/officeDocument/2006/relationships/hyperlink" Target="javascript:submitLink(document.Form1,%22jump$60%22);" TargetMode="External"/><Relationship Id="rId1" Type="http://schemas.openxmlformats.org/officeDocument/2006/relationships/hyperlink" Target="javascript:submitLink(document.Form1,%22jump$5%22);" TargetMode="External"/><Relationship Id="rId6" Type="http://schemas.openxmlformats.org/officeDocument/2006/relationships/hyperlink" Target="javascript:submitLink(document.Form1,%22jump$14%22);" TargetMode="External"/><Relationship Id="rId11" Type="http://schemas.openxmlformats.org/officeDocument/2006/relationships/hyperlink" Target="javascript:submitLink(document.Form1,%22jump$43%22);" TargetMode="External"/><Relationship Id="rId24" Type="http://schemas.openxmlformats.org/officeDocument/2006/relationships/hyperlink" Target="javascript:submitLink(document.Form1,%22jump$25%22);" TargetMode="External"/><Relationship Id="rId32" Type="http://schemas.openxmlformats.org/officeDocument/2006/relationships/hyperlink" Target="javascript:submitLink(document.Form1,%22jump$88%22);" TargetMode="External"/><Relationship Id="rId37" Type="http://schemas.openxmlformats.org/officeDocument/2006/relationships/hyperlink" Target="javascript:submitLink(document.Form1,%22jump$41%22);" TargetMode="External"/><Relationship Id="rId40" Type="http://schemas.openxmlformats.org/officeDocument/2006/relationships/hyperlink" Target="javascript:submitLink(document.Form1,%22jump$50%22);" TargetMode="External"/><Relationship Id="rId45" Type="http://schemas.openxmlformats.org/officeDocument/2006/relationships/hyperlink" Target="javascript:submitLink(document.Form1,%22jump$78%22);" TargetMode="External"/><Relationship Id="rId5" Type="http://schemas.openxmlformats.org/officeDocument/2006/relationships/hyperlink" Target="javascript:submitLink(document.Form1,%22jump$13%22);" TargetMode="External"/><Relationship Id="rId15" Type="http://schemas.openxmlformats.org/officeDocument/2006/relationships/hyperlink" Target="javascript:submitLink(document.Form1,%22jump$58%22);" TargetMode="External"/><Relationship Id="rId23" Type="http://schemas.openxmlformats.org/officeDocument/2006/relationships/hyperlink" Target="javascript:submitLink(document.Form1,%22jump$18%22);" TargetMode="External"/><Relationship Id="rId28" Type="http://schemas.openxmlformats.org/officeDocument/2006/relationships/hyperlink" Target="javascript:submitLink(document.Form1,%22jump$53%22);" TargetMode="External"/><Relationship Id="rId36" Type="http://schemas.openxmlformats.org/officeDocument/2006/relationships/hyperlink" Target="javascript:submitLink(document.Form1,%22jump$33%22);" TargetMode="External"/><Relationship Id="rId10" Type="http://schemas.openxmlformats.org/officeDocument/2006/relationships/hyperlink" Target="javascript:submitLink(document.Form1,%22jump$36%22);" TargetMode="External"/><Relationship Id="rId19" Type="http://schemas.openxmlformats.org/officeDocument/2006/relationships/hyperlink" Target="javascript:submitLink(document.Form1,%22jump$80%22);" TargetMode="External"/><Relationship Id="rId31" Type="http://schemas.openxmlformats.org/officeDocument/2006/relationships/hyperlink" Target="javascript:submitLink(document.Form1,%22jump$81%22);" TargetMode="External"/><Relationship Id="rId44" Type="http://schemas.openxmlformats.org/officeDocument/2006/relationships/hyperlink" Target="javascript:submitLink(document.Form1,%22jump$71%22);" TargetMode="External"/><Relationship Id="rId4" Type="http://schemas.openxmlformats.org/officeDocument/2006/relationships/image" Target="../media/image2.png"/><Relationship Id="rId9" Type="http://schemas.openxmlformats.org/officeDocument/2006/relationships/hyperlink" Target="javascript:submitLink(document.Form1,%22jump$35%22);" TargetMode="External"/><Relationship Id="rId14" Type="http://schemas.openxmlformats.org/officeDocument/2006/relationships/hyperlink" Target="javascript:submitLink(document.Form1,%22jump$52%22);" TargetMode="External"/><Relationship Id="rId22" Type="http://schemas.openxmlformats.org/officeDocument/2006/relationships/hyperlink" Target="javascript:submitLink(document.Form1,%22jump$11%22);" TargetMode="External"/><Relationship Id="rId27" Type="http://schemas.openxmlformats.org/officeDocument/2006/relationships/hyperlink" Target="javascript:submitLink(document.Form1,%22jump$46%22);" TargetMode="External"/><Relationship Id="rId30" Type="http://schemas.openxmlformats.org/officeDocument/2006/relationships/hyperlink" Target="javascript:submitLink(document.Form1,%22jump$74%22);" TargetMode="External"/><Relationship Id="rId35" Type="http://schemas.openxmlformats.org/officeDocument/2006/relationships/hyperlink" Target="javascript:submitLink(document.Form1,%22jump$26%22);" TargetMode="External"/><Relationship Id="rId43" Type="http://schemas.openxmlformats.org/officeDocument/2006/relationships/hyperlink" Target="javascript:submitLink(document.Form1,%22jump$65%22);" TargetMode="External"/><Relationship Id="rId8" Type="http://schemas.openxmlformats.org/officeDocument/2006/relationships/hyperlink" Target="javascript:submitLink(document.Form1,%22jump$27%22);" TargetMode="External"/><Relationship Id="rId3" Type="http://schemas.openxmlformats.org/officeDocument/2006/relationships/hyperlink" Target="javascript:submitLink(document.Form1,%22jump$6%22);" TargetMode="External"/><Relationship Id="rId12" Type="http://schemas.openxmlformats.org/officeDocument/2006/relationships/hyperlink" Target="javascript:submitLink(document.Form1,%22jump$44%22);" TargetMode="External"/><Relationship Id="rId17" Type="http://schemas.openxmlformats.org/officeDocument/2006/relationships/hyperlink" Target="javascript:submitLink(document.Form1,%22jump$67%22);" TargetMode="External"/><Relationship Id="rId25" Type="http://schemas.openxmlformats.org/officeDocument/2006/relationships/hyperlink" Target="javascript:submitLink(document.Form1,%22jump$32%22);" TargetMode="External"/><Relationship Id="rId33" Type="http://schemas.openxmlformats.org/officeDocument/2006/relationships/hyperlink" Target="javascript:submitLink(document.Form1,%22jump$12%22);" TargetMode="External"/><Relationship Id="rId38" Type="http://schemas.openxmlformats.org/officeDocument/2006/relationships/hyperlink" Target="javascript:submitLink(document.Form1,%22jump$42%22);" TargetMode="External"/><Relationship Id="rId46" Type="http://schemas.openxmlformats.org/officeDocument/2006/relationships/hyperlink" Target="javascript:submitLink(document.Form1,%22jump$85%22);" TargetMode="External"/><Relationship Id="rId20" Type="http://schemas.openxmlformats.org/officeDocument/2006/relationships/hyperlink" Target="javascript:submitLink(document.Form1,%22jump$87%22);" TargetMode="External"/><Relationship Id="rId41" Type="http://schemas.openxmlformats.org/officeDocument/2006/relationships/hyperlink" Target="javascript:submitLink(document.Form1,%22jump$56%22);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2" name="Picture 1" descr="externo?service=asset&amp;sp=S%2Fgov%2Fafip%2Fpampa%2Fweb%2Fwebflow%2Fcontrols%2Fimages%2Fzoom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8127B4-CDDA-42CC-970C-7CDAC5299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198120</xdr:colOff>
      <xdr:row>71</xdr:row>
      <xdr:rowOff>146050</xdr:rowOff>
    </xdr:to>
    <xdr:pic>
      <xdr:nvPicPr>
        <xdr:cNvPr id="3" name="Picture 2" descr="externo?service=asset&amp;sp=S%2Fgov%2Fafip%2Fpampa%2Fweb%2Fwebflow%2Fcontrols%2Fimages%2FfichasGestio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6CA11BF-9AD1-457D-9D4A-C48DD2FA7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981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4" name="Picture 3" descr="externo?service=asset&amp;sp=S%2Fgov%2Fafip%2Fpampa%2Fweb%2Fwebflow%2Fcontrols%2Fimages%2Fzoom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0BA37CD-0869-48AE-946C-BBA556D6C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198120</xdr:colOff>
      <xdr:row>71</xdr:row>
      <xdr:rowOff>146050</xdr:rowOff>
    </xdr:to>
    <xdr:pic>
      <xdr:nvPicPr>
        <xdr:cNvPr id="5" name="Picture 4" descr="externo?service=asset&amp;sp=S%2Fgov%2Fafip%2Fpampa%2Fweb%2Fwebflow%2Fcontrols%2Fimages%2FfichasGestion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82EDCF8-B8CD-433F-894A-B3BAAC448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981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6" name="Picture 5" descr="externo?service=asset&amp;sp=S%2Fgov%2Fafip%2Fpampa%2Fweb%2Fwebflow%2Fcontrols%2Fimages%2Fzoom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30FAADD-4AEA-40DF-8092-232806477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7" name="Picture 6" descr="externo?service=asset&amp;sp=S%2Fgov%2Fafip%2Fpampa%2Fweb%2Fwebflow%2Fcontrols%2Fimages%2Fzoom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D929EEF-6AC7-4B4A-B51E-3FEDCAD20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8" name="Picture 7" descr="externo?service=asset&amp;sp=S%2Fgov%2Fafip%2Fpampa%2Fweb%2Fwebflow%2Fcontrols%2Fimages%2Fzoom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D8A057C-7FEA-45C6-B6C7-790B5740C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198120</xdr:colOff>
      <xdr:row>71</xdr:row>
      <xdr:rowOff>146050</xdr:rowOff>
    </xdr:to>
    <xdr:pic>
      <xdr:nvPicPr>
        <xdr:cNvPr id="9" name="Picture 8" descr="externo?service=asset&amp;sp=S%2Fgov%2Fafip%2Fpampa%2Fweb%2Fwebflow%2Fcontrols%2Fimages%2FfichasGestion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30109BC-3E23-4D02-9131-F9EBE5106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981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10" name="Picture 9" descr="externo?service=asset&amp;sp=S%2Fgov%2Fafip%2Fpampa%2Fweb%2Fwebflow%2Fcontrols%2Fimages%2Fzoom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746AAB5-564E-4294-A171-3264A7D87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198120</xdr:colOff>
      <xdr:row>71</xdr:row>
      <xdr:rowOff>146050</xdr:rowOff>
    </xdr:to>
    <xdr:pic>
      <xdr:nvPicPr>
        <xdr:cNvPr id="11" name="Picture 10" descr="externo?service=asset&amp;sp=S%2Fgov%2Fafip%2Fpampa%2Fweb%2Fwebflow%2Fcontrols%2Fimages%2FfichasGestion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A64C3CA-53E3-43EE-82C9-40EA86D28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981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12" name="Picture 11" descr="externo?service=asset&amp;sp=S%2Fgov%2Fafip%2Fpampa%2Fweb%2Fwebflow%2Fcontrols%2Fimages%2Fzoom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4C6C545-1349-471F-A54B-96818215A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198120</xdr:colOff>
      <xdr:row>71</xdr:row>
      <xdr:rowOff>146050</xdr:rowOff>
    </xdr:to>
    <xdr:pic>
      <xdr:nvPicPr>
        <xdr:cNvPr id="13" name="Picture 12" descr="externo?service=asset&amp;sp=S%2Fgov%2Fafip%2Fpampa%2Fweb%2Fwebflow%2Fcontrols%2Fimages%2FfichasGestion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4AB110A-FEA0-400E-9F00-73F878080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981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14" name="Picture 13" descr="externo?service=asset&amp;sp=S%2Fgov%2Fafip%2Fpampa%2Fweb%2Fwebflow%2Fcontrols%2Fimages%2Fzoom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1F1EF65-DBDF-4C48-88DC-E6280342E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15" name="Picture 14" descr="externo?service=asset&amp;sp=S%2Fgov%2Fafip%2Fpampa%2Fweb%2Fwebflow%2Fcontrols%2Fimages%2Fzoom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1654C0E-5414-4475-BB67-093C32727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198120</xdr:colOff>
      <xdr:row>71</xdr:row>
      <xdr:rowOff>146050</xdr:rowOff>
    </xdr:to>
    <xdr:pic>
      <xdr:nvPicPr>
        <xdr:cNvPr id="16" name="Picture 15" descr="externo?service=asset&amp;sp=S%2Fgov%2Fafip%2Fpampa%2Fweb%2Fwebflow%2Fcontrols%2Fimages%2FfichasGestion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57BFBED-6738-43FC-8B1D-8527F4E28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981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17" name="Picture 16" descr="externo?service=asset&amp;sp=S%2Fgov%2Fafip%2Fpampa%2Fweb%2Fwebflow%2Fcontrols%2Fimages%2Fzoom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7D9DB03-4BE4-4DC0-B57F-8A9A3EE9F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18" name="Picture 17" descr="externo?service=asset&amp;sp=S%2Fgov%2Fafip%2Fpampa%2Fweb%2Fwebflow%2Fcontrols%2Fimages%2Fzoom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F62441E8-5C0D-4D65-82B9-A61366F59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19" name="Picture 18" descr="externo?service=asset&amp;sp=S%2Fgov%2Fafip%2Fpampa%2Fweb%2Fwebflow%2Fcontrols%2Fimages%2Fzoom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10FCC045-D820-4444-A103-76A941444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20" name="Picture 19" descr="externo?service=asset&amp;sp=S%2Fgov%2Fafip%2Fpampa%2Fweb%2Fwebflow%2Fcontrols%2Fimages%2Fzoom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88470AF-BDE8-43A6-B6A3-2CF384DE7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21" name="Picture 20" descr="externo?service=asset&amp;sp=S%2Fgov%2Fafip%2Fpampa%2Fweb%2Fwebflow%2Fcontrols%2Fimages%2Fzoom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E670F582-529D-40DD-BDD1-471A1DEA3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22" name="Picture 21" descr="externo?service=asset&amp;sp=S%2Fgov%2Fafip%2Fpampa%2Fweb%2Fwebflow%2Fcontrols%2Fimages%2Fzoom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4B90F017-F3B0-404E-9E30-354D66BFA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23" name="Picture 22" descr="externo?service=asset&amp;sp=S%2Fgov%2Fafip%2Fpampa%2Fweb%2Fwebflow%2Fcontrols%2Fimages%2Fzoom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56EDE508-4F1A-4359-BAF6-66FD69584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24" name="Picture 23" descr="externo?service=asset&amp;sp=S%2Fgov%2Fafip%2Fpampa%2Fweb%2Fwebflow%2Fcontrols%2Fimages%2Fzoom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494F906A-4846-41A9-A974-57770BDB9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25" name="Picture 25" descr="externo?service=asset&amp;sp=S%2Fgov%2Fafip%2Fpampa%2Fweb%2Fwebflow%2Fcontrols%2Fimages%2Fzoom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355FE60E-3653-4A02-8E66-1DCF1D15F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26" name="Picture 26" descr="externo?service=asset&amp;sp=S%2Fgov%2Fafip%2Fpampa%2Fweb%2Fwebflow%2Fcontrols%2Fimages%2Fzoom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58F4AC08-9859-42A8-8A9D-2419DACF8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27" name="Picture 27" descr="externo?service=asset&amp;sp=S%2Fgov%2Fafip%2Fpampa%2Fweb%2Fwebflow%2Fcontrols%2Fimages%2Fzoom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4B4B2A16-A3B7-4861-8F08-827981EC2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28" name="Picture 28" descr="externo?service=asset&amp;sp=S%2Fgov%2Fafip%2Fpampa%2Fweb%2Fwebflow%2Fcontrols%2Fimages%2Fzoom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BA8DC625-9011-4D5A-ACC1-2AD941360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29" name="Picture 29" descr="externo?service=asset&amp;sp=S%2Fgov%2Fafip%2Fpampa%2Fweb%2Fwebflow%2Fcontrols%2Fimages%2Fzoom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84B4D146-C22A-4FA8-94DD-54F44B342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30" name="Picture 30" descr="externo?service=asset&amp;sp=S%2Fgov%2Fafip%2Fpampa%2Fweb%2Fwebflow%2Fcontrols%2Fimages%2Fzoom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AA649536-3448-409A-8BD7-D6FA8F3BF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31" name="Picture 31" descr="externo?service=asset&amp;sp=S%2Fgov%2Fafip%2Fpampa%2Fweb%2Fwebflow%2Fcontrols%2Fimages%2Fzoom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69755FBF-836A-446F-A541-205EC9B32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32" name="Picture 32" descr="externo?service=asset&amp;sp=S%2Fgov%2Fafip%2Fpampa%2Fweb%2Fwebflow%2Fcontrols%2Fimages%2Fzoom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8E0310B2-5415-46D1-BAB0-EBA9A6CAE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33" name="Picture 33" descr="externo?service=asset&amp;sp=S%2Fgov%2Fafip%2Fpampa%2Fweb%2Fwebflow%2Fcontrols%2Fimages%2Fzoom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1FD60C15-CC00-4964-B4B8-6AB243041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34" name="Picture 34" descr="externo?service=asset&amp;sp=S%2Fgov%2Fafip%2Fpampa%2Fweb%2Fwebflow%2Fcontrols%2Fimages%2Fzoom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6E21ADA3-F351-4B1A-81F3-B178EAAD7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35" name="Picture 35" descr="externo?service=asset&amp;sp=S%2Fgov%2Fafip%2Fpampa%2Fweb%2Fwebflow%2Fcontrols%2Fimages%2Fzoom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84BF24C9-D8DE-41F6-8B29-7A8202EA1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36" name="Picture 36" descr="externo?service=asset&amp;sp=S%2Fgov%2Fafip%2Fpampa%2Fweb%2Fwebflow%2Fcontrols%2Fimages%2Fzoom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D8FDC4B1-0997-4BEB-9F99-83AEA09FF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37" name="Picture 37" descr="externo?service=asset&amp;sp=S%2Fgov%2Fafip%2Fpampa%2Fweb%2Fwebflow%2Fcontrols%2Fimages%2Fzoom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4927D8C2-85FB-4F04-8636-AEF89508A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38" name="Picture 38" descr="externo?service=asset&amp;sp=S%2Fgov%2Fafip%2Fpampa%2Fweb%2Fwebflow%2Fcontrols%2Fimages%2Fzoom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45C89E60-BB5A-4021-A34C-1DF26AE60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39" name="Picture 39" descr="externo?service=asset&amp;sp=S%2Fgov%2Fafip%2Fpampa%2Fweb%2Fwebflow%2Fcontrols%2Fimages%2Fzoom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4D1C6F18-8C0F-4157-9F32-D7670F1E2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40" name="Picture 40" descr="externo?service=asset&amp;sp=S%2Fgov%2Fafip%2Fpampa%2Fweb%2Fwebflow%2Fcontrols%2Fimages%2Fzoom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AF65C32F-0A66-4D75-B8B2-8B3FF6BD0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41" name="Picture 41" descr="externo?service=asset&amp;sp=S%2Fgov%2Fafip%2Fpampa%2Fweb%2Fwebflow%2Fcontrols%2Fimages%2Fzoom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193CD4AD-6782-47B6-AEBD-FE8F8B064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42" name="Picture 42" descr="externo?service=asset&amp;sp=S%2Fgov%2Fafip%2Fpampa%2Fweb%2Fwebflow%2Fcontrols%2Fimages%2Fzoom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84EE8C5D-A9AD-4FE5-B42B-AFDE1D475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43" name="Picture 43" descr="externo?service=asset&amp;sp=S%2Fgov%2Fafip%2Fpampa%2Fweb%2Fwebflow%2Fcontrols%2Fimages%2Fzoom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1E85EFBD-0E81-461C-96EA-1D6BF6B1D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44" name="Picture 44" descr="externo?service=asset&amp;sp=S%2Fgov%2Fafip%2Fpampa%2Fweb%2Fwebflow%2Fcontrols%2Fimages%2Fzoom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9DE5CD53-D204-44B7-94AF-822597042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45" name="Picture 45" descr="externo?service=asset&amp;sp=S%2Fgov%2Fafip%2Fpampa%2Fweb%2Fwebflow%2Fcontrols%2Fimages%2Fzoom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15D5E6AA-85C1-4C51-8FCD-52ABC0488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106680</xdr:rowOff>
    </xdr:to>
    <xdr:pic>
      <xdr:nvPicPr>
        <xdr:cNvPr id="46" name="Picture 46" descr="externo?service=asset&amp;sp=S%2Fgov%2Fafip%2Fpampa%2Fweb%2Fwebflow%2Fcontrols%2Fimages%2Fzoom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EB9AF66D-1ACC-4D67-A888-B89187C52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47" name="Picture 47" descr="externo?service=asset&amp;sp=S%2Fgov%2Fafip%2Fpampa%2Fweb%2Fwebflow%2Fcontrols%2Fimages%2Fzoom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255F5873-9A73-4FDC-9D4D-E04623341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48" name="Picture 48" descr="externo?service=asset&amp;sp=S%2Fgov%2Fafip%2Fpampa%2Fweb%2Fwebflow%2Fcontrols%2Fimages%2Fzoom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83499EE3-DDE7-4EA2-A63E-26EF17EA3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49" name="Picture 49" descr="externo?service=asset&amp;sp=S%2Fgov%2Fafip%2Fpampa%2Fweb%2Fwebflow%2Fcontrols%2Fimages%2Fzoom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6D839255-5D82-428D-81A8-7BFE3F28A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106680</xdr:rowOff>
    </xdr:to>
    <xdr:pic>
      <xdr:nvPicPr>
        <xdr:cNvPr id="50" name="Picture 50" descr="externo?service=asset&amp;sp=S%2Fgov%2Fafip%2Fpampa%2Fweb%2Fwebflow%2Fcontrols%2Fimages%2Fzoom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2753E10A-A86F-4B89-A659-3B3FF685C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198120</xdr:colOff>
      <xdr:row>71</xdr:row>
      <xdr:rowOff>146050</xdr:rowOff>
    </xdr:to>
    <xdr:pic>
      <xdr:nvPicPr>
        <xdr:cNvPr id="51" name="Picture 51" descr="externo?service=asset&amp;sp=S%2Fgov%2Fafip%2Fpampa%2Fweb%2Fwebflow%2Fcontrols%2Fimages%2FfichasGestion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EFB73B1E-BB16-444C-B3E5-96797598E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981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52" name="Picture 52" descr="externo?service=asset&amp;sp=S%2Fgov%2Fafip%2Fpampa%2Fweb%2Fwebflow%2Fcontrols%2Fimages%2Fzoom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C3F1088B-5BC5-4403-BF2E-366C719CB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198120</xdr:colOff>
      <xdr:row>71</xdr:row>
      <xdr:rowOff>146050</xdr:rowOff>
    </xdr:to>
    <xdr:pic>
      <xdr:nvPicPr>
        <xdr:cNvPr id="53" name="Picture 53" descr="externo?service=asset&amp;sp=S%2Fgov%2Fafip%2Fpampa%2Fweb%2Fwebflow%2Fcontrols%2Fimages%2FfichasGestion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B9682394-C747-4584-8A13-2B571CAE3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981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54" name="Picture 54" descr="externo?service=asset&amp;sp=S%2Fgov%2Fafip%2Fpampa%2Fweb%2Fwebflow%2Fcontrols%2Fimages%2Fzoom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22EA5521-9FA6-48BE-9FDB-3090C4887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55" name="Picture 55" descr="externo?service=asset&amp;sp=S%2Fgov%2Fafip%2Fpampa%2Fweb%2Fwebflow%2Fcontrols%2Fimages%2Fzoom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79130365-4CBF-4D68-94DA-C6584D493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198120</xdr:colOff>
      <xdr:row>71</xdr:row>
      <xdr:rowOff>146050</xdr:rowOff>
    </xdr:to>
    <xdr:pic>
      <xdr:nvPicPr>
        <xdr:cNvPr id="56" name="Picture 56" descr="externo?service=asset&amp;sp=S%2Fgov%2Fafip%2Fpampa%2Fweb%2Fwebflow%2Fcontrols%2Fimages%2FfichasGestion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25960DA9-1C06-4F3C-A602-82C99EE96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981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57" name="Picture 57" descr="externo?service=asset&amp;sp=S%2Fgov%2Fafip%2Fpampa%2Fweb%2Fwebflow%2Fcontrols%2Fimages%2Fzoom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73A8627A-C1EE-4CB0-9A5C-88648FD0F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58" name="Picture 58" descr="externo?service=asset&amp;sp=S%2Fgov%2Fafip%2Fpampa%2Fweb%2Fwebflow%2Fcontrols%2Fimages%2Fzoom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B2144122-9FC8-4690-920B-039028BB2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59" name="Picture 59" descr="externo?service=asset&amp;sp=S%2Fgov%2Fafip%2Fpampa%2Fweb%2Fwebflow%2Fcontrols%2Fimages%2Fzoom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A5FB60F5-424F-4CDC-B8F4-6F387A8CC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60" name="Picture 60" descr="externo?service=asset&amp;sp=S%2Fgov%2Fafip%2Fpampa%2Fweb%2Fwebflow%2Fcontrols%2Fimages%2Fzoom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CF5240FF-227D-4A23-BD88-5E18173D9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61" name="Picture 61" descr="externo?service=asset&amp;sp=S%2Fgov%2Fafip%2Fpampa%2Fweb%2Fwebflow%2Fcontrols%2Fimages%2Fzoom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BC41CC3F-D098-4729-B446-10DC26107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62" name="Picture 62" descr="externo?service=asset&amp;sp=S%2Fgov%2Fafip%2Fpampa%2Fweb%2Fwebflow%2Fcontrols%2Fimages%2Fzoom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4FE59640-4CE3-4A3E-A2F4-D96D02E24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63" name="Picture 63" descr="externo?service=asset&amp;sp=S%2Fgov%2Fafip%2Fpampa%2Fweb%2Fwebflow%2Fcontrols%2Fimages%2Fzoom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AD20320C-8AA9-4CE8-9562-752537FAF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64" name="Picture 64" descr="externo?service=asset&amp;sp=S%2Fgov%2Fafip%2Fpampa%2Fweb%2Fwebflow%2Fcontrols%2Fimages%2Fzoom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306B045E-0352-474A-BA3E-D9D72835A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65" name="Picture 65" descr="externo?service=asset&amp;sp=S%2Fgov%2Fafip%2Fpampa%2Fweb%2Fwebflow%2Fcontrols%2Fimages%2Fzoom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FEE9E5C3-B255-4542-8B90-475128BFF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66" name="Picture 66" descr="externo?service=asset&amp;sp=S%2Fgov%2Fafip%2Fpampa%2Fweb%2Fwebflow%2Fcontrols%2Fimages%2Fzoom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87BB2186-E2F0-44AD-A435-3E188B70A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67" name="Picture 67" descr="externo?service=asset&amp;sp=S%2Fgov%2Fafip%2Fpampa%2Fweb%2Fwebflow%2Fcontrols%2Fimages%2Fzoom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FE9E7C23-B1C5-4A1C-B66E-08771D5F0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68" name="Picture 68" descr="externo?service=asset&amp;sp=S%2Fgov%2Fafip%2Fpampa%2Fweb%2Fwebflow%2Fcontrols%2Fimages%2Fzoom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CF8ABDF2-7AEC-4614-9734-31A1265D2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69" name="Picture 69" descr="externo?service=asset&amp;sp=S%2Fgov%2Fafip%2Fpampa%2Fweb%2Fwebflow%2Fcontrols%2Fimages%2Fzoom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C41BFDA7-BBC9-4DA8-B95D-335C8C559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70" name="Picture 70" descr="externo?service=asset&amp;sp=S%2Fgov%2Fafip%2Fpampa%2Fweb%2Fwebflow%2Fcontrols%2Fimages%2Fzoom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C4DA9AF7-FB6D-44A4-99B3-206B6F3FF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0</xdr:colOff>
      <xdr:row>71</xdr:row>
      <xdr:rowOff>0</xdr:rowOff>
    </xdr:from>
    <xdr:to>
      <xdr:col>16</xdr:col>
      <xdr:colOff>160020</xdr:colOff>
      <xdr:row>71</xdr:row>
      <xdr:rowOff>146050</xdr:rowOff>
    </xdr:to>
    <xdr:pic>
      <xdr:nvPicPr>
        <xdr:cNvPr id="71" name="Picture 71" descr="externo?service=asset&amp;sp=S%2Fgov%2Fafip%2Fpampa%2Fweb%2Fwebflow%2Fcontrols%2Fimages%2Fzoom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DBC9D644-29FD-4392-A133-69710AF40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6794500"/>
          <a:ext cx="160020" cy="14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177223</xdr:colOff>
      <xdr:row>0</xdr:row>
      <xdr:rowOff>135083</xdr:rowOff>
    </xdr:from>
    <xdr:to>
      <xdr:col>20</xdr:col>
      <xdr:colOff>254077</xdr:colOff>
      <xdr:row>4</xdr:row>
      <xdr:rowOff>103333</xdr:rowOff>
    </xdr:to>
    <xdr:pic>
      <xdr:nvPicPr>
        <xdr:cNvPr id="74" name="Imagen 2">
          <a:extLst>
            <a:ext uri="{FF2B5EF4-FFF2-40B4-BE49-F238E27FC236}">
              <a16:creationId xmlns:a16="http://schemas.microsoft.com/office/drawing/2014/main" id="{9DC4D920-3A9D-4209-B4ED-92A6B889A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47655" y="135083"/>
          <a:ext cx="838854" cy="686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134257</xdr:colOff>
      <xdr:row>0</xdr:row>
      <xdr:rowOff>36285</xdr:rowOff>
    </xdr:from>
    <xdr:to>
      <xdr:col>16</xdr:col>
      <xdr:colOff>395632</xdr:colOff>
      <xdr:row>4</xdr:row>
      <xdr:rowOff>29482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2192C454-38EB-4705-9A33-C20EC701B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48971" y="36285"/>
          <a:ext cx="896375" cy="7189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381000</xdr:colOff>
      <xdr:row>1</xdr:row>
      <xdr:rowOff>12700</xdr:rowOff>
    </xdr:from>
    <xdr:to>
      <xdr:col>15</xdr:col>
      <xdr:colOff>484986</xdr:colOff>
      <xdr:row>4</xdr:row>
      <xdr:rowOff>152400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40392B39-AE7B-45FF-8F5D-AA7097D36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76050" y="177800"/>
          <a:ext cx="885036" cy="66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1</xdr:row>
      <xdr:rowOff>25400</xdr:rowOff>
    </xdr:from>
    <xdr:to>
      <xdr:col>6</xdr:col>
      <xdr:colOff>1227936</xdr:colOff>
      <xdr:row>4</xdr:row>
      <xdr:rowOff>158750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E547235-C3EA-4920-90FE-FDB068F6C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190500"/>
          <a:ext cx="885036" cy="66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235373</xdr:colOff>
      <xdr:row>1</xdr:row>
      <xdr:rowOff>8184</xdr:rowOff>
    </xdr:from>
    <xdr:to>
      <xdr:col>4</xdr:col>
      <xdr:colOff>1416473</xdr:colOff>
      <xdr:row>4</xdr:row>
      <xdr:rowOff>244404</xdr:rowOff>
    </xdr:to>
    <xdr:pic>
      <xdr:nvPicPr>
        <xdr:cNvPr id="2122" name="Imagen 2">
          <a:extLst>
            <a:ext uri="{FF2B5EF4-FFF2-40B4-BE49-F238E27FC236}">
              <a16:creationId xmlns:a16="http://schemas.microsoft.com/office/drawing/2014/main" id="{00000000-0008-0000-0100-00004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4484" y="177517"/>
          <a:ext cx="1181100" cy="7865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ody001/Documents/NEW/Project%20MASH/1.%20Drafts%20-%20Not%20Programmed/8.%20Smaller%20Audits%20-%20Substantive%20Procedures%20-%20Accounts%20Payable%20-%2009262017%20-%20NP%20DRAF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baron004/Documents/Methodology/Base%20car/Canada/Work%20to%20be%20done/2014%20IFRS%20PPE%20Templates/20140328%20-%20Test%20additions%20-%20Property,%20plant%20and%20equipment%20(wToD2014a)(IFRS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"/>
      <sheetName val="Paid invoices Master"/>
      <sheetName val="Unpaid invoices Master"/>
      <sheetName val="Lead schedule"/>
      <sheetName val="Foreign currency Master"/>
      <sheetName val="Reconciliation"/>
      <sheetName val="Paid Invoices"/>
      <sheetName val="Unpaid Invoices"/>
      <sheetName val="Foreign Currency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"/>
      <sheetName val="Results Template"/>
      <sheetName val="ToD Template"/>
      <sheetName val="Menu Master"/>
      <sheetName val="Targeted Testing Master"/>
      <sheetName val="Non-Statistical Sampling Master"/>
      <sheetName val="Suppl Non-Stat Sample Master"/>
      <sheetName val="Two Step Revenue Testing Master"/>
      <sheetName val="Accept Reject Master"/>
      <sheetName val="First Sample Results Master"/>
      <sheetName val="Global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fia Paredes" refreshedDate="45302.404390972224" createdVersion="8" refreshedVersion="8" minRefreshableVersion="3" recordCount="29" xr:uid="{1050C927-7226-4554-A32E-CC40E065DF4B}">
  <cacheSource type="worksheet">
    <worksheetSource ref="K4:Q1825" sheet="PAGOS"/>
  </cacheSource>
  <cacheFields count="7">
    <cacheField name="Fecha Operación" numFmtId="0">
      <sharedItems containsNonDate="0" containsString="0" containsBlank="1"/>
    </cacheField>
    <cacheField name="Formulario" numFmtId="0">
      <sharedItems containsNonDate="0" containsString="0" containsBlank="1" containsNumber="1" containsInteger="1" minValue="800" maxValue="1931" count="3">
        <m/>
        <n v="800" u="1"/>
        <n v="1931" u="1"/>
      </sharedItems>
    </cacheField>
    <cacheField name="Version" numFmtId="0">
      <sharedItems containsNonDate="0" containsString="0" containsBlank="1"/>
    </cacheField>
    <cacheField name="Impuesto" numFmtId="0">
      <sharedItems containsNonDate="0" containsBlank="1" count="11">
        <m/>
        <s v="30 - IVA" u="1"/>
        <s v="302 - APORTES OBRAS SOCIALES" u="1"/>
        <s v="301 - EMPLEADOR-APORTES SEG. SOCIAL" u="1"/>
        <s v="312 - ASEG.RIESGO DE TRABAJO L 24557" u="1"/>
        <s v="28 - SEGURO DE VIDA COLECTIVO" u="1"/>
        <s v="352 - CONTRIBUCIONES OBRA SOCIAL" u="1"/>
        <s v="351 - CONTRIBUCIONES SEG. SOCIAL" u="1"/>
        <s v="217 - SICORE-IMPTO.A LAS GANANCIAS" u="1"/>
        <s v="787 - RET ART 79 LEY GCIAS INC A,ByC" u="1"/>
        <s v="353 - RETENCIONES CONTRIB.SEG.SOCIAL" u="1"/>
      </sharedItems>
    </cacheField>
    <cacheField name="Periodo" numFmtId="0">
      <sharedItems containsNonDate="0" containsString="0" containsBlank="1" containsNumber="1" containsInteger="1" minValue="20210100" maxValue="20230900" count="7">
        <m/>
        <n v="20230700" u="1"/>
        <n v="20230900" u="1"/>
        <n v="20230800" u="1"/>
        <n v="20210100" u="1"/>
        <n v="20210500" u="1"/>
        <n v="20210400" u="1"/>
      </sharedItems>
    </cacheField>
    <cacheField name="Importe" numFmtId="0">
      <sharedItems containsNonDate="0" containsString="0" containsBlank="1"/>
    </cacheField>
    <cacheField name="Observacion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fia Paredes" refreshedDate="45302.404391898148" createdVersion="8" refreshedVersion="8" minRefreshableVersion="3" recordCount="70" xr:uid="{6275B1D2-6ECF-4CE8-8928-7829CC0E055C}">
  <cacheSource type="worksheet">
    <worksheetSource ref="A4:G850" sheet="PAGOS"/>
  </cacheSource>
  <cacheFields count="7">
    <cacheField name="Fecha Operación" numFmtId="0">
      <sharedItems containsNonDate="0" containsString="0" containsBlank="1"/>
    </cacheField>
    <cacheField name="Formulario" numFmtId="0">
      <sharedItems containsNonDate="0" containsString="0" containsBlank="1" containsNumber="1" containsInteger="1" minValue="800" maxValue="1931" count="5">
        <m/>
        <n v="800" u="1"/>
        <n v="1931" u="1"/>
        <n v="1204" u="1"/>
        <n v="1744" u="1"/>
      </sharedItems>
    </cacheField>
    <cacheField name="Version" numFmtId="0">
      <sharedItems containsNonDate="0" containsString="0" containsBlank="1"/>
    </cacheField>
    <cacheField name="Impuesto" numFmtId="0">
      <sharedItems containsNonDate="0" containsString="0" containsBlank="1" containsNumber="1" containsInteger="1" minValue="0" maxValue="100" count="3">
        <m/>
        <n v="0" u="1"/>
        <n v="100" u="1"/>
      </sharedItems>
    </cacheField>
    <cacheField name="Periodo" numFmtId="0">
      <sharedItems containsNonDate="0" containsString="0" containsBlank="1" containsNumber="1" containsInteger="1" minValue="20180000" maxValue="20230900" count="16">
        <m/>
        <n v="20230600" u="1"/>
        <n v="20230500" u="1"/>
        <n v="20230400" u="1"/>
        <n v="20230300" u="1"/>
        <n v="20230200" u="1"/>
        <n v="20230100" u="1"/>
        <n v="20221200" u="1"/>
        <n v="20221100" u="1"/>
        <n v="20221000" u="1"/>
        <n v="20220900" u="1"/>
        <n v="20230700" u="1"/>
        <n v="20220000" u="1"/>
        <n v="20180000" u="1"/>
        <n v="20220100" u="1"/>
        <n v="20230900" u="1"/>
      </sharedItems>
    </cacheField>
    <cacheField name="Importe" numFmtId="0">
      <sharedItems containsNonDate="0" containsString="0" containsBlank="1"/>
    </cacheField>
    <cacheField name="Observacione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  <r>
    <m/>
    <x v="0"/>
    <m/>
    <x v="0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D2EC78-DA5B-4192-B1E8-8EFDF8BE9A3D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B9" firstHeaderRow="1" firstDataRow="1" firstDataCol="1"/>
  <pivotFields count="7">
    <pivotField showAll="0"/>
    <pivotField axis="axisRow" showAll="0">
      <items count="6">
        <item sd="0" m="1" x="1"/>
        <item x="0"/>
        <item m="1" x="2"/>
        <item sd="0" m="1" x="3"/>
        <item sd="0" m="1" x="4"/>
        <item t="default"/>
      </items>
    </pivotField>
    <pivotField showAll="0"/>
    <pivotField axis="axisRow" showAll="0">
      <items count="4">
        <item x="0"/>
        <item m="1" x="1"/>
        <item m="1" x="2"/>
        <item t="default"/>
      </items>
    </pivotField>
    <pivotField axis="axisRow" showAll="0">
      <items count="17">
        <item m="1" x="15"/>
        <item x="0"/>
        <item m="1" x="11"/>
        <item m="1" x="3"/>
        <item m="1" x="1"/>
        <item m="1" x="12"/>
        <item m="1" x="2"/>
        <item m="1" x="13"/>
        <item m="1" x="5"/>
        <item m="1" x="4"/>
        <item m="1" x="14"/>
        <item m="1" x="6"/>
        <item m="1" x="7"/>
        <item m="1" x="8"/>
        <item m="1" x="9"/>
        <item m="1" x="10"/>
        <item t="default"/>
      </items>
    </pivotField>
    <pivotField dataField="1" showAll="0"/>
    <pivotField showAll="0"/>
  </pivotFields>
  <rowFields count="3">
    <field x="1"/>
    <field x="4"/>
    <field x="3"/>
  </rowFields>
  <rowItems count="4">
    <i>
      <x v="1"/>
    </i>
    <i r="1">
      <x v="1"/>
    </i>
    <i r="2">
      <x/>
    </i>
    <i t="grand">
      <x/>
    </i>
  </rowItems>
  <colItems count="1">
    <i/>
  </colItems>
  <dataFields count="1">
    <dataField name="Suma de Importe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09AC6-8E88-490B-A2A8-73F0754C080A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5:I7" firstHeaderRow="1" firstDataRow="1" firstDataCol="1"/>
  <pivotFields count="7">
    <pivotField showAll="0"/>
    <pivotField axis="axisRow" showAll="0">
      <items count="4">
        <item sd="0" m="1" x="1"/>
        <item sd="0" x="0"/>
        <item m="1" x="2"/>
        <item t="default"/>
      </items>
    </pivotField>
    <pivotField showAll="0"/>
    <pivotField axis="axisRow" showAll="0">
      <items count="12">
        <item m="1" x="8"/>
        <item x="0"/>
        <item m="1" x="9"/>
        <item m="1" x="4"/>
        <item m="1" x="5"/>
        <item m="1" x="3"/>
        <item m="1" x="2"/>
        <item m="1" x="7"/>
        <item m="1" x="6"/>
        <item m="1" x="10"/>
        <item m="1" x="1"/>
        <item t="default"/>
      </items>
    </pivotField>
    <pivotField axis="axisRow" showAll="0">
      <items count="8">
        <item m="1" x="2"/>
        <item x="0"/>
        <item m="1" x="1"/>
        <item m="1" x="3"/>
        <item m="1" x="4"/>
        <item m="1" x="5"/>
        <item m="1" x="6"/>
        <item t="default"/>
      </items>
    </pivotField>
    <pivotField dataField="1" showAll="0"/>
    <pivotField showAll="0"/>
  </pivotFields>
  <rowFields count="3">
    <field x="1"/>
    <field x="4"/>
    <field x="3"/>
  </rowFields>
  <rowItems count="2">
    <i>
      <x v="1"/>
    </i>
    <i t="grand">
      <x/>
    </i>
  </rowItems>
  <colItems count="1">
    <i/>
  </colItems>
  <dataFields count="1">
    <dataField name="Suma de Importe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8F9A-58D5-407F-9AD7-8A2C61631704}">
  <dimension ref="A1:J27"/>
  <sheetViews>
    <sheetView tabSelected="1" workbookViewId="0">
      <selection activeCell="B27" sqref="B27"/>
    </sheetView>
  </sheetViews>
  <sheetFormatPr baseColWidth="10" defaultColWidth="11.44140625" defaultRowHeight="13.2" x14ac:dyDescent="0.25"/>
  <cols>
    <col min="1" max="1" width="24.109375" style="196" customWidth="1"/>
    <col min="2" max="2" width="50.44140625" style="196" customWidth="1"/>
    <col min="3" max="4" width="16.109375" style="196" customWidth="1"/>
    <col min="5" max="5" width="15.109375" style="196" customWidth="1"/>
    <col min="6" max="256" width="11.44140625" style="196"/>
    <col min="257" max="257" width="24.109375" style="196" customWidth="1"/>
    <col min="258" max="258" width="50.44140625" style="196" customWidth="1"/>
    <col min="259" max="512" width="11.44140625" style="196"/>
    <col min="513" max="513" width="24.109375" style="196" customWidth="1"/>
    <col min="514" max="514" width="50.44140625" style="196" customWidth="1"/>
    <col min="515" max="768" width="11.44140625" style="196"/>
    <col min="769" max="769" width="24.109375" style="196" customWidth="1"/>
    <col min="770" max="770" width="50.44140625" style="196" customWidth="1"/>
    <col min="771" max="1024" width="11.44140625" style="196"/>
    <col min="1025" max="1025" width="24.109375" style="196" customWidth="1"/>
    <col min="1026" max="1026" width="50.44140625" style="196" customWidth="1"/>
    <col min="1027" max="1280" width="11.44140625" style="196"/>
    <col min="1281" max="1281" width="24.109375" style="196" customWidth="1"/>
    <col min="1282" max="1282" width="50.44140625" style="196" customWidth="1"/>
    <col min="1283" max="1536" width="11.44140625" style="196"/>
    <col min="1537" max="1537" width="24.109375" style="196" customWidth="1"/>
    <col min="1538" max="1538" width="50.44140625" style="196" customWidth="1"/>
    <col min="1539" max="1792" width="11.44140625" style="196"/>
    <col min="1793" max="1793" width="24.109375" style="196" customWidth="1"/>
    <col min="1794" max="1794" width="50.44140625" style="196" customWidth="1"/>
    <col min="1795" max="2048" width="11.44140625" style="196"/>
    <col min="2049" max="2049" width="24.109375" style="196" customWidth="1"/>
    <col min="2050" max="2050" width="50.44140625" style="196" customWidth="1"/>
    <col min="2051" max="2304" width="11.44140625" style="196"/>
    <col min="2305" max="2305" width="24.109375" style="196" customWidth="1"/>
    <col min="2306" max="2306" width="50.44140625" style="196" customWidth="1"/>
    <col min="2307" max="2560" width="11.44140625" style="196"/>
    <col min="2561" max="2561" width="24.109375" style="196" customWidth="1"/>
    <col min="2562" max="2562" width="50.44140625" style="196" customWidth="1"/>
    <col min="2563" max="2816" width="11.44140625" style="196"/>
    <col min="2817" max="2817" width="24.109375" style="196" customWidth="1"/>
    <col min="2818" max="2818" width="50.44140625" style="196" customWidth="1"/>
    <col min="2819" max="3072" width="11.44140625" style="196"/>
    <col min="3073" max="3073" width="24.109375" style="196" customWidth="1"/>
    <col min="3074" max="3074" width="50.44140625" style="196" customWidth="1"/>
    <col min="3075" max="3328" width="11.44140625" style="196"/>
    <col min="3329" max="3329" width="24.109375" style="196" customWidth="1"/>
    <col min="3330" max="3330" width="50.44140625" style="196" customWidth="1"/>
    <col min="3331" max="3584" width="11.44140625" style="196"/>
    <col min="3585" max="3585" width="24.109375" style="196" customWidth="1"/>
    <col min="3586" max="3586" width="50.44140625" style="196" customWidth="1"/>
    <col min="3587" max="3840" width="11.44140625" style="196"/>
    <col min="3841" max="3841" width="24.109375" style="196" customWidth="1"/>
    <col min="3842" max="3842" width="50.44140625" style="196" customWidth="1"/>
    <col min="3843" max="4096" width="11.44140625" style="196"/>
    <col min="4097" max="4097" width="24.109375" style="196" customWidth="1"/>
    <col min="4098" max="4098" width="50.44140625" style="196" customWidth="1"/>
    <col min="4099" max="4352" width="11.44140625" style="196"/>
    <col min="4353" max="4353" width="24.109375" style="196" customWidth="1"/>
    <col min="4354" max="4354" width="50.44140625" style="196" customWidth="1"/>
    <col min="4355" max="4608" width="11.44140625" style="196"/>
    <col min="4609" max="4609" width="24.109375" style="196" customWidth="1"/>
    <col min="4610" max="4610" width="50.44140625" style="196" customWidth="1"/>
    <col min="4611" max="4864" width="11.44140625" style="196"/>
    <col min="4865" max="4865" width="24.109375" style="196" customWidth="1"/>
    <col min="4866" max="4866" width="50.44140625" style="196" customWidth="1"/>
    <col min="4867" max="5120" width="11.44140625" style="196"/>
    <col min="5121" max="5121" width="24.109375" style="196" customWidth="1"/>
    <col min="5122" max="5122" width="50.44140625" style="196" customWidth="1"/>
    <col min="5123" max="5376" width="11.44140625" style="196"/>
    <col min="5377" max="5377" width="24.109375" style="196" customWidth="1"/>
    <col min="5378" max="5378" width="50.44140625" style="196" customWidth="1"/>
    <col min="5379" max="5632" width="11.44140625" style="196"/>
    <col min="5633" max="5633" width="24.109375" style="196" customWidth="1"/>
    <col min="5634" max="5634" width="50.44140625" style="196" customWidth="1"/>
    <col min="5635" max="5888" width="11.44140625" style="196"/>
    <col min="5889" max="5889" width="24.109375" style="196" customWidth="1"/>
    <col min="5890" max="5890" width="50.44140625" style="196" customWidth="1"/>
    <col min="5891" max="6144" width="11.44140625" style="196"/>
    <col min="6145" max="6145" width="24.109375" style="196" customWidth="1"/>
    <col min="6146" max="6146" width="50.44140625" style="196" customWidth="1"/>
    <col min="6147" max="6400" width="11.44140625" style="196"/>
    <col min="6401" max="6401" width="24.109375" style="196" customWidth="1"/>
    <col min="6402" max="6402" width="50.44140625" style="196" customWidth="1"/>
    <col min="6403" max="6656" width="11.44140625" style="196"/>
    <col min="6657" max="6657" width="24.109375" style="196" customWidth="1"/>
    <col min="6658" max="6658" width="50.44140625" style="196" customWidth="1"/>
    <col min="6659" max="6912" width="11.44140625" style="196"/>
    <col min="6913" max="6913" width="24.109375" style="196" customWidth="1"/>
    <col min="6914" max="6914" width="50.44140625" style="196" customWidth="1"/>
    <col min="6915" max="7168" width="11.44140625" style="196"/>
    <col min="7169" max="7169" width="24.109375" style="196" customWidth="1"/>
    <col min="7170" max="7170" width="50.44140625" style="196" customWidth="1"/>
    <col min="7171" max="7424" width="11.44140625" style="196"/>
    <col min="7425" max="7425" width="24.109375" style="196" customWidth="1"/>
    <col min="7426" max="7426" width="50.44140625" style="196" customWidth="1"/>
    <col min="7427" max="7680" width="11.44140625" style="196"/>
    <col min="7681" max="7681" width="24.109375" style="196" customWidth="1"/>
    <col min="7682" max="7682" width="50.44140625" style="196" customWidth="1"/>
    <col min="7683" max="7936" width="11.44140625" style="196"/>
    <col min="7937" max="7937" width="24.109375" style="196" customWidth="1"/>
    <col min="7938" max="7938" width="50.44140625" style="196" customWidth="1"/>
    <col min="7939" max="8192" width="11.44140625" style="196"/>
    <col min="8193" max="8193" width="24.109375" style="196" customWidth="1"/>
    <col min="8194" max="8194" width="50.44140625" style="196" customWidth="1"/>
    <col min="8195" max="8448" width="11.44140625" style="196"/>
    <col min="8449" max="8449" width="24.109375" style="196" customWidth="1"/>
    <col min="8450" max="8450" width="50.44140625" style="196" customWidth="1"/>
    <col min="8451" max="8704" width="11.44140625" style="196"/>
    <col min="8705" max="8705" width="24.109375" style="196" customWidth="1"/>
    <col min="8706" max="8706" width="50.44140625" style="196" customWidth="1"/>
    <col min="8707" max="8960" width="11.44140625" style="196"/>
    <col min="8961" max="8961" width="24.109375" style="196" customWidth="1"/>
    <col min="8962" max="8962" width="50.44140625" style="196" customWidth="1"/>
    <col min="8963" max="9216" width="11.44140625" style="196"/>
    <col min="9217" max="9217" width="24.109375" style="196" customWidth="1"/>
    <col min="9218" max="9218" width="50.44140625" style="196" customWidth="1"/>
    <col min="9219" max="9472" width="11.44140625" style="196"/>
    <col min="9473" max="9473" width="24.109375" style="196" customWidth="1"/>
    <col min="9474" max="9474" width="50.44140625" style="196" customWidth="1"/>
    <col min="9475" max="9728" width="11.44140625" style="196"/>
    <col min="9729" max="9729" width="24.109375" style="196" customWidth="1"/>
    <col min="9730" max="9730" width="50.44140625" style="196" customWidth="1"/>
    <col min="9731" max="9984" width="11.44140625" style="196"/>
    <col min="9985" max="9985" width="24.109375" style="196" customWidth="1"/>
    <col min="9986" max="9986" width="50.44140625" style="196" customWidth="1"/>
    <col min="9987" max="10240" width="11.44140625" style="196"/>
    <col min="10241" max="10241" width="24.109375" style="196" customWidth="1"/>
    <col min="10242" max="10242" width="50.44140625" style="196" customWidth="1"/>
    <col min="10243" max="10496" width="11.44140625" style="196"/>
    <col min="10497" max="10497" width="24.109375" style="196" customWidth="1"/>
    <col min="10498" max="10498" width="50.44140625" style="196" customWidth="1"/>
    <col min="10499" max="10752" width="11.44140625" style="196"/>
    <col min="10753" max="10753" width="24.109375" style="196" customWidth="1"/>
    <col min="10754" max="10754" width="50.44140625" style="196" customWidth="1"/>
    <col min="10755" max="11008" width="11.44140625" style="196"/>
    <col min="11009" max="11009" width="24.109375" style="196" customWidth="1"/>
    <col min="11010" max="11010" width="50.44140625" style="196" customWidth="1"/>
    <col min="11011" max="11264" width="11.44140625" style="196"/>
    <col min="11265" max="11265" width="24.109375" style="196" customWidth="1"/>
    <col min="11266" max="11266" width="50.44140625" style="196" customWidth="1"/>
    <col min="11267" max="11520" width="11.44140625" style="196"/>
    <col min="11521" max="11521" width="24.109375" style="196" customWidth="1"/>
    <col min="11522" max="11522" width="50.44140625" style="196" customWidth="1"/>
    <col min="11523" max="11776" width="11.44140625" style="196"/>
    <col min="11777" max="11777" width="24.109375" style="196" customWidth="1"/>
    <col min="11778" max="11778" width="50.44140625" style="196" customWidth="1"/>
    <col min="11779" max="12032" width="11.44140625" style="196"/>
    <col min="12033" max="12033" width="24.109375" style="196" customWidth="1"/>
    <col min="12034" max="12034" width="50.44140625" style="196" customWidth="1"/>
    <col min="12035" max="12288" width="11.44140625" style="196"/>
    <col min="12289" max="12289" width="24.109375" style="196" customWidth="1"/>
    <col min="12290" max="12290" width="50.44140625" style="196" customWidth="1"/>
    <col min="12291" max="12544" width="11.44140625" style="196"/>
    <col min="12545" max="12545" width="24.109375" style="196" customWidth="1"/>
    <col min="12546" max="12546" width="50.44140625" style="196" customWidth="1"/>
    <col min="12547" max="12800" width="11.44140625" style="196"/>
    <col min="12801" max="12801" width="24.109375" style="196" customWidth="1"/>
    <col min="12802" max="12802" width="50.44140625" style="196" customWidth="1"/>
    <col min="12803" max="13056" width="11.44140625" style="196"/>
    <col min="13057" max="13057" width="24.109375" style="196" customWidth="1"/>
    <col min="13058" max="13058" width="50.44140625" style="196" customWidth="1"/>
    <col min="13059" max="13312" width="11.44140625" style="196"/>
    <col min="13313" max="13313" width="24.109375" style="196" customWidth="1"/>
    <col min="13314" max="13314" width="50.44140625" style="196" customWidth="1"/>
    <col min="13315" max="13568" width="11.44140625" style="196"/>
    <col min="13569" max="13569" width="24.109375" style="196" customWidth="1"/>
    <col min="13570" max="13570" width="50.44140625" style="196" customWidth="1"/>
    <col min="13571" max="13824" width="11.44140625" style="196"/>
    <col min="13825" max="13825" width="24.109375" style="196" customWidth="1"/>
    <col min="13826" max="13826" width="50.44140625" style="196" customWidth="1"/>
    <col min="13827" max="14080" width="11.44140625" style="196"/>
    <col min="14081" max="14081" width="24.109375" style="196" customWidth="1"/>
    <col min="14082" max="14082" width="50.44140625" style="196" customWidth="1"/>
    <col min="14083" max="14336" width="11.44140625" style="196"/>
    <col min="14337" max="14337" width="24.109375" style="196" customWidth="1"/>
    <col min="14338" max="14338" width="50.44140625" style="196" customWidth="1"/>
    <col min="14339" max="14592" width="11.44140625" style="196"/>
    <col min="14593" max="14593" width="24.109375" style="196" customWidth="1"/>
    <col min="14594" max="14594" width="50.44140625" style="196" customWidth="1"/>
    <col min="14595" max="14848" width="11.44140625" style="196"/>
    <col min="14849" max="14849" width="24.109375" style="196" customWidth="1"/>
    <col min="14850" max="14850" width="50.44140625" style="196" customWidth="1"/>
    <col min="14851" max="15104" width="11.44140625" style="196"/>
    <col min="15105" max="15105" width="24.109375" style="196" customWidth="1"/>
    <col min="15106" max="15106" width="50.44140625" style="196" customWidth="1"/>
    <col min="15107" max="15360" width="11.44140625" style="196"/>
    <col min="15361" max="15361" width="24.109375" style="196" customWidth="1"/>
    <col min="15362" max="15362" width="50.44140625" style="196" customWidth="1"/>
    <col min="15363" max="15616" width="11.44140625" style="196"/>
    <col min="15617" max="15617" width="24.109375" style="196" customWidth="1"/>
    <col min="15618" max="15618" width="50.44140625" style="196" customWidth="1"/>
    <col min="15619" max="15872" width="11.44140625" style="196"/>
    <col min="15873" max="15873" width="24.109375" style="196" customWidth="1"/>
    <col min="15874" max="15874" width="50.44140625" style="196" customWidth="1"/>
    <col min="15875" max="16128" width="11.44140625" style="196"/>
    <col min="16129" max="16129" width="24.109375" style="196" customWidth="1"/>
    <col min="16130" max="16130" width="50.44140625" style="196" customWidth="1"/>
    <col min="16131" max="16384" width="11.44140625" style="196"/>
  </cols>
  <sheetData>
    <row r="1" spans="1:10" ht="21" x14ac:dyDescent="0.25">
      <c r="A1" s="440" t="s">
        <v>0</v>
      </c>
      <c r="B1" s="440"/>
      <c r="C1" s="440"/>
      <c r="D1" s="440"/>
      <c r="E1" s="440"/>
      <c r="F1" s="440"/>
      <c r="G1" s="440"/>
      <c r="H1" s="440"/>
      <c r="I1" s="441" t="e" vm="1">
        <v>#VALUE!</v>
      </c>
      <c r="J1" s="441"/>
    </row>
    <row r="2" spans="1:10" ht="15" thickBot="1" x14ac:dyDescent="0.35">
      <c r="A2" s="218" t="s">
        <v>1</v>
      </c>
      <c r="B2" s="219"/>
      <c r="C2" s="220"/>
      <c r="D2" s="218"/>
      <c r="E2" s="218" t="s">
        <v>2</v>
      </c>
      <c r="F2" s="221"/>
      <c r="G2" s="221"/>
      <c r="H2" s="218"/>
      <c r="I2" s="441"/>
      <c r="J2" s="441"/>
    </row>
    <row r="3" spans="1:10" ht="15" thickBot="1" x14ac:dyDescent="0.35">
      <c r="A3" s="218" t="s">
        <v>3</v>
      </c>
      <c r="B3" s="222">
        <v>45658</v>
      </c>
      <c r="C3" s="220"/>
      <c r="D3" s="218"/>
      <c r="E3" s="218" t="s">
        <v>4</v>
      </c>
      <c r="F3" s="223"/>
      <c r="G3" s="223"/>
      <c r="H3" s="218"/>
      <c r="I3" s="441"/>
      <c r="J3" s="441"/>
    </row>
    <row r="4" spans="1:10" ht="15" thickBot="1" x14ac:dyDescent="0.35">
      <c r="A4" s="218" t="s">
        <v>5</v>
      </c>
      <c r="B4" s="222">
        <f>EOMONTH(B3,11)</f>
        <v>46022</v>
      </c>
      <c r="C4" s="220"/>
      <c r="D4" s="218"/>
      <c r="E4" s="218" t="s">
        <v>6</v>
      </c>
      <c r="F4" s="224"/>
      <c r="G4" s="223"/>
      <c r="H4" s="218"/>
      <c r="I4" s="441"/>
      <c r="J4" s="441"/>
    </row>
    <row r="5" spans="1:10" ht="14.4" x14ac:dyDescent="0.3">
      <c r="A5" s="225"/>
      <c r="B5" s="225"/>
      <c r="C5" s="225"/>
      <c r="D5" s="225"/>
      <c r="E5" s="225"/>
      <c r="F5" s="225"/>
      <c r="G5" s="225"/>
      <c r="H5" s="225"/>
      <c r="I5" s="225"/>
      <c r="J5" s="225"/>
    </row>
    <row r="7" spans="1:10" x14ac:dyDescent="0.25">
      <c r="A7" s="226"/>
      <c r="B7" s="226"/>
      <c r="C7" s="226"/>
      <c r="D7" s="226"/>
      <c r="E7" s="226"/>
      <c r="F7" s="226"/>
      <c r="G7" s="226"/>
      <c r="H7" s="226"/>
      <c r="I7" s="226"/>
      <c r="J7" s="226"/>
    </row>
    <row r="8" spans="1:10" x14ac:dyDescent="0.25">
      <c r="B8" s="227" t="s">
        <v>7</v>
      </c>
      <c r="C8" s="228">
        <f>+G8+G11</f>
        <v>0</v>
      </c>
      <c r="E8" s="229" t="s">
        <v>8</v>
      </c>
      <c r="F8" s="230">
        <f>+COUNTIF($C$15:$C$26,E8)</f>
        <v>0</v>
      </c>
      <c r="G8" s="231">
        <f>+IFERROR(F8/SUM($F$8:$F$11),0)</f>
        <v>0</v>
      </c>
    </row>
    <row r="9" spans="1:10" x14ac:dyDescent="0.25">
      <c r="B9" s="232"/>
      <c r="E9" s="233" t="s">
        <v>9</v>
      </c>
      <c r="F9" s="230">
        <f>+COUNTIF($C$15:$C$26,E9)</f>
        <v>0</v>
      </c>
      <c r="G9" s="231">
        <f>+IFERROR(F9/SUM($F$8:$F$11),0)</f>
        <v>0</v>
      </c>
    </row>
    <row r="10" spans="1:10" x14ac:dyDescent="0.25">
      <c r="B10" s="232"/>
      <c r="E10" s="234" t="s">
        <v>10</v>
      </c>
      <c r="F10" s="230">
        <f t="shared" ref="F10:F11" si="0">+COUNTIF($C$15:$C$26,E10)</f>
        <v>0</v>
      </c>
      <c r="G10" s="231">
        <f>+IFERROR(F10/SUM($F$8:$F$11),0)</f>
        <v>0</v>
      </c>
    </row>
    <row r="11" spans="1:10" x14ac:dyDescent="0.25">
      <c r="B11" s="232"/>
      <c r="E11" s="235" t="s">
        <v>11</v>
      </c>
      <c r="F11" s="230">
        <f t="shared" si="0"/>
        <v>0</v>
      </c>
      <c r="G11" s="231">
        <f>+IFERROR(F11/SUM($F$8:$F$11),0)</f>
        <v>0</v>
      </c>
    </row>
    <row r="12" spans="1:10" x14ac:dyDescent="0.25">
      <c r="C12" s="236"/>
    </row>
    <row r="27" spans="2:2" x14ac:dyDescent="0.25">
      <c r="B27" s="534"/>
    </row>
  </sheetData>
  <mergeCells count="2">
    <mergeCell ref="A1:H1"/>
    <mergeCell ref="I1:J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FE054-3028-49AE-B42F-35ED6E8888BD}">
  <dimension ref="A2:L18"/>
  <sheetViews>
    <sheetView showGridLines="0" topLeftCell="A14" workbookViewId="0">
      <selection activeCell="A3" sqref="A3"/>
    </sheetView>
  </sheetViews>
  <sheetFormatPr baseColWidth="10" defaultColWidth="11.44140625" defaultRowHeight="13.2" x14ac:dyDescent="0.25"/>
  <cols>
    <col min="1" max="1" width="5.5546875" customWidth="1"/>
  </cols>
  <sheetData>
    <row r="2" spans="1:12" x14ac:dyDescent="0.25">
      <c r="A2" s="9" t="s">
        <v>12</v>
      </c>
    </row>
    <row r="3" spans="1:12" x14ac:dyDescent="0.25">
      <c r="A3" s="9"/>
    </row>
    <row r="4" spans="1:12" x14ac:dyDescent="0.25">
      <c r="A4" s="9" t="s">
        <v>13</v>
      </c>
    </row>
    <row r="5" spans="1:12" ht="33" customHeight="1" x14ac:dyDescent="0.25">
      <c r="B5" s="445" t="s">
        <v>14</v>
      </c>
      <c r="C5" s="444"/>
      <c r="D5" s="444"/>
      <c r="E5" s="444"/>
      <c r="F5" s="444"/>
      <c r="G5" s="444"/>
      <c r="H5" s="444"/>
      <c r="I5" s="444"/>
      <c r="J5" s="444"/>
      <c r="K5" s="444"/>
    </row>
    <row r="8" spans="1:12" x14ac:dyDescent="0.25">
      <c r="A8" s="443" t="s">
        <v>15</v>
      </c>
      <c r="B8" s="444"/>
      <c r="C8" s="444"/>
      <c r="D8" s="444"/>
      <c r="E8" s="444"/>
    </row>
    <row r="9" spans="1:12" x14ac:dyDescent="0.25">
      <c r="A9" s="4"/>
    </row>
    <row r="10" spans="1:12" x14ac:dyDescent="0.25">
      <c r="A10" s="120" t="s">
        <v>16</v>
      </c>
      <c r="B10" s="446" t="s">
        <v>17</v>
      </c>
      <c r="C10" s="446"/>
      <c r="D10" s="446"/>
      <c r="E10" s="446"/>
      <c r="F10" s="446"/>
      <c r="G10" s="446"/>
      <c r="H10" s="446"/>
      <c r="I10" s="446"/>
      <c r="J10" s="446"/>
      <c r="K10" s="446"/>
      <c r="L10" s="446"/>
    </row>
    <row r="11" spans="1:12" x14ac:dyDescent="0.25">
      <c r="A11" s="120" t="s">
        <v>18</v>
      </c>
      <c r="B11" s="442" t="s">
        <v>19</v>
      </c>
      <c r="C11" s="442"/>
      <c r="D11" s="442"/>
      <c r="E11" s="442"/>
      <c r="F11" s="442"/>
      <c r="G11" s="442"/>
      <c r="H11" s="442"/>
      <c r="I11" s="442"/>
      <c r="J11" s="442"/>
      <c r="K11" s="442"/>
      <c r="L11" s="442"/>
    </row>
    <row r="12" spans="1:12" x14ac:dyDescent="0.25">
      <c r="A12" s="120" t="s">
        <v>20</v>
      </c>
      <c r="B12" s="447" t="s">
        <v>21</v>
      </c>
      <c r="C12" s="442"/>
      <c r="D12" s="442"/>
      <c r="E12" s="442"/>
      <c r="F12" s="442"/>
      <c r="G12" s="442"/>
      <c r="H12" s="442"/>
      <c r="I12" s="442"/>
      <c r="J12" s="442"/>
      <c r="K12" s="442"/>
      <c r="L12" s="442"/>
    </row>
    <row r="13" spans="1:12" x14ac:dyDescent="0.25">
      <c r="A13" s="120" t="s">
        <v>22</v>
      </c>
      <c r="B13" s="442" t="s">
        <v>23</v>
      </c>
      <c r="C13" s="442"/>
      <c r="D13" s="442"/>
      <c r="E13" s="442"/>
      <c r="F13" s="442"/>
      <c r="G13" s="442"/>
      <c r="H13" s="442"/>
      <c r="I13" s="442"/>
      <c r="J13" s="442"/>
      <c r="K13" s="442"/>
      <c r="L13" s="442"/>
    </row>
    <row r="14" spans="1:12" ht="29.25" customHeight="1" x14ac:dyDescent="0.25">
      <c r="A14" s="120" t="s">
        <v>24</v>
      </c>
      <c r="B14" s="447" t="s">
        <v>25</v>
      </c>
      <c r="C14" s="442"/>
      <c r="D14" s="442"/>
      <c r="E14" s="442"/>
      <c r="F14" s="442"/>
      <c r="G14" s="442"/>
      <c r="H14" s="442"/>
      <c r="I14" s="442"/>
      <c r="J14" s="442"/>
      <c r="K14" s="442"/>
      <c r="L14" s="442"/>
    </row>
    <row r="15" spans="1:12" ht="22.5" customHeight="1" x14ac:dyDescent="0.25">
      <c r="A15" s="120" t="s">
        <v>26</v>
      </c>
      <c r="B15" s="442" t="s">
        <v>27</v>
      </c>
      <c r="C15" s="442"/>
      <c r="D15" s="442"/>
      <c r="E15" s="442"/>
      <c r="F15" s="442"/>
      <c r="G15" s="442"/>
      <c r="H15" s="442"/>
      <c r="I15" s="442"/>
      <c r="J15" s="442"/>
      <c r="K15" s="442"/>
      <c r="L15" s="442"/>
    </row>
    <row r="16" spans="1:12" x14ac:dyDescent="0.25">
      <c r="A16" s="120" t="s">
        <v>28</v>
      </c>
      <c r="B16" s="442" t="s">
        <v>29</v>
      </c>
      <c r="C16" s="442"/>
      <c r="D16" s="442"/>
      <c r="E16" s="442"/>
      <c r="F16" s="442"/>
      <c r="G16" s="442"/>
      <c r="H16" s="442"/>
      <c r="I16" s="442"/>
      <c r="J16" s="442"/>
      <c r="K16" s="442"/>
      <c r="L16" s="442"/>
    </row>
    <row r="17" spans="1:12" x14ac:dyDescent="0.25">
      <c r="A17" s="120" t="s">
        <v>30</v>
      </c>
      <c r="B17" s="442" t="s">
        <v>31</v>
      </c>
      <c r="C17" s="442"/>
      <c r="D17" s="442"/>
      <c r="E17" s="442"/>
      <c r="F17" s="442"/>
      <c r="G17" s="442"/>
      <c r="H17" s="442"/>
      <c r="I17" s="442"/>
      <c r="J17" s="442"/>
      <c r="K17" s="442"/>
      <c r="L17" s="442"/>
    </row>
    <row r="18" spans="1:12" x14ac:dyDescent="0.25">
      <c r="A18" s="120" t="s">
        <v>32</v>
      </c>
      <c r="B18" s="442" t="s">
        <v>33</v>
      </c>
      <c r="C18" s="442"/>
      <c r="D18" s="442"/>
      <c r="E18" s="442"/>
      <c r="F18" s="442"/>
      <c r="G18" s="442"/>
      <c r="H18" s="442"/>
      <c r="I18" s="442"/>
      <c r="J18" s="442"/>
      <c r="K18" s="442"/>
      <c r="L18" s="442"/>
    </row>
  </sheetData>
  <mergeCells count="11">
    <mergeCell ref="B16:L16"/>
    <mergeCell ref="B17:L17"/>
    <mergeCell ref="B18:L18"/>
    <mergeCell ref="A8:E8"/>
    <mergeCell ref="B5:K5"/>
    <mergeCell ref="B10:L10"/>
    <mergeCell ref="B11:L11"/>
    <mergeCell ref="B12:L12"/>
    <mergeCell ref="B13:L13"/>
    <mergeCell ref="B14:L14"/>
    <mergeCell ref="B15:L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5064A-FE81-4D3D-B57C-02F913CF7C4A}">
  <dimension ref="A1:K27"/>
  <sheetViews>
    <sheetView showGridLines="0" zoomScale="89" zoomScaleNormal="89" workbookViewId="0">
      <pane ySplit="9" topLeftCell="A10" activePane="bottomLeft" state="frozen"/>
      <selection pane="bottomLeft" activeCell="C12" sqref="C12"/>
    </sheetView>
  </sheetViews>
  <sheetFormatPr baseColWidth="10" defaultColWidth="10.88671875" defaultRowHeight="14.4" x14ac:dyDescent="0.3"/>
  <cols>
    <col min="1" max="1" width="11.33203125" style="201" customWidth="1"/>
    <col min="2" max="2" width="12.88671875" style="201" customWidth="1"/>
    <col min="3" max="3" width="30" style="201" customWidth="1"/>
    <col min="4" max="6" width="15.88671875" style="201" customWidth="1"/>
    <col min="7" max="7" width="11.33203125" style="201" customWidth="1"/>
    <col min="8" max="9" width="17.5546875" style="201" customWidth="1"/>
    <col min="10" max="10" width="15.44140625" style="201" customWidth="1"/>
    <col min="11" max="11" width="17.5546875" style="201" customWidth="1"/>
    <col min="12" max="16384" width="10.88671875" style="201"/>
  </cols>
  <sheetData>
    <row r="1" spans="1:11" s="196" customFormat="1" ht="15" customHeight="1" x14ac:dyDescent="0.25">
      <c r="B1" s="448"/>
      <c r="C1" s="448"/>
      <c r="D1" s="448"/>
      <c r="E1" s="448"/>
      <c r="F1" s="448"/>
      <c r="G1" s="448"/>
      <c r="H1" s="448" t="e" vm="1">
        <v>#VALUE!</v>
      </c>
    </row>
    <row r="2" spans="1:11" s="196" customFormat="1" ht="15" customHeight="1" x14ac:dyDescent="0.25">
      <c r="B2" s="448"/>
      <c r="C2" s="448"/>
      <c r="D2" s="448"/>
      <c r="E2" s="448"/>
      <c r="F2" s="448"/>
      <c r="G2" s="448"/>
      <c r="H2" s="448"/>
    </row>
    <row r="3" spans="1:11" s="196" customFormat="1" ht="15" customHeight="1" x14ac:dyDescent="0.25">
      <c r="B3" s="448"/>
      <c r="C3" s="448"/>
      <c r="D3" s="448"/>
      <c r="E3" s="448"/>
      <c r="F3" s="448"/>
      <c r="G3" s="448"/>
      <c r="H3" s="448"/>
    </row>
    <row r="4" spans="1:11" s="196" customFormat="1" ht="13.2" x14ac:dyDescent="0.25"/>
    <row r="5" spans="1:11" s="196" customFormat="1" ht="13.8" thickBot="1" x14ac:dyDescent="0.3"/>
    <row r="6" spans="1:11" s="196" customFormat="1" ht="13.5" customHeight="1" x14ac:dyDescent="0.3">
      <c r="B6" s="197" t="s">
        <v>34</v>
      </c>
      <c r="C6" s="198">
        <f>Títulos!B2</f>
        <v>0</v>
      </c>
      <c r="D6" s="449" t="s">
        <v>35</v>
      </c>
      <c r="E6" s="450"/>
      <c r="F6" s="451"/>
    </row>
    <row r="7" spans="1:11" s="196" customFormat="1" ht="13.5" customHeight="1" x14ac:dyDescent="0.3">
      <c r="B7" s="197" t="s">
        <v>3</v>
      </c>
      <c r="C7" s="199">
        <f>Títulos!B3</f>
        <v>45658</v>
      </c>
      <c r="D7" s="452"/>
      <c r="E7" s="453"/>
      <c r="F7" s="454"/>
    </row>
    <row r="8" spans="1:11" s="196" customFormat="1" ht="13.5" customHeight="1" thickBot="1" x14ac:dyDescent="0.35">
      <c r="B8" s="200" t="s">
        <v>5</v>
      </c>
      <c r="C8" s="199">
        <f>Títulos!B4</f>
        <v>46022</v>
      </c>
      <c r="D8" s="455"/>
      <c r="E8" s="456"/>
      <c r="F8" s="457"/>
    </row>
    <row r="9" spans="1:11" ht="15" thickBot="1" x14ac:dyDescent="0.35">
      <c r="G9" s="202"/>
    </row>
    <row r="10" spans="1:11" ht="15" thickBot="1" x14ac:dyDescent="0.35">
      <c r="F10" s="203" t="s">
        <v>36</v>
      </c>
      <c r="G10" s="202"/>
      <c r="H10" s="204">
        <f>+SUM(H14:H25)</f>
        <v>0</v>
      </c>
    </row>
    <row r="11" spans="1:11" x14ac:dyDescent="0.3">
      <c r="G11" s="202"/>
    </row>
    <row r="12" spans="1:11" x14ac:dyDescent="0.3">
      <c r="G12" s="202"/>
    </row>
    <row r="13" spans="1:11" x14ac:dyDescent="0.3">
      <c r="A13" s="205" t="s">
        <v>37</v>
      </c>
      <c r="B13" s="205" t="s">
        <v>38</v>
      </c>
      <c r="C13" s="205" t="s">
        <v>39</v>
      </c>
      <c r="D13" s="205" t="s">
        <v>40</v>
      </c>
      <c r="E13" s="205" t="s">
        <v>41</v>
      </c>
      <c r="F13" s="205" t="s">
        <v>42</v>
      </c>
      <c r="G13" s="205" t="s">
        <v>43</v>
      </c>
      <c r="H13" s="205" t="s">
        <v>44</v>
      </c>
      <c r="I13" s="206" t="s">
        <v>45</v>
      </c>
      <c r="J13" s="206"/>
      <c r="K13" s="207"/>
    </row>
    <row r="14" spans="1:11" x14ac:dyDescent="0.3">
      <c r="A14" s="208"/>
      <c r="B14" s="208"/>
      <c r="C14" s="208"/>
      <c r="D14" s="209"/>
      <c r="E14" s="210"/>
      <c r="F14" s="211">
        <f>+E14-D14</f>
        <v>0</v>
      </c>
      <c r="G14" s="212">
        <f>+IF(F14&lt;&gt;0,F14/D14,0)</f>
        <v>0</v>
      </c>
      <c r="H14" s="213">
        <f t="shared" ref="H14:H25" si="0">+VALUE(IFERROR(IF(A14="SI",F14,0),""))</f>
        <v>0</v>
      </c>
      <c r="I14" s="214"/>
      <c r="J14" s="215"/>
      <c r="K14" s="216"/>
    </row>
    <row r="15" spans="1:11" x14ac:dyDescent="0.3">
      <c r="A15" s="208"/>
      <c r="B15" s="208"/>
      <c r="C15" s="208"/>
      <c r="D15" s="209"/>
      <c r="E15" s="210"/>
      <c r="F15" s="211">
        <f t="shared" ref="F15:F25" si="1">+E15-D15</f>
        <v>0</v>
      </c>
      <c r="G15" s="212">
        <f t="shared" ref="G15:G25" si="2">+IF(F15&lt;&gt;0,F15/D15,0)</f>
        <v>0</v>
      </c>
      <c r="H15" s="213">
        <f t="shared" si="0"/>
        <v>0</v>
      </c>
      <c r="I15" s="214"/>
      <c r="J15" s="215"/>
      <c r="K15" s="217"/>
    </row>
    <row r="16" spans="1:11" x14ac:dyDescent="0.3">
      <c r="A16" s="208"/>
      <c r="B16" s="208"/>
      <c r="C16" s="208"/>
      <c r="D16" s="209"/>
      <c r="E16" s="210"/>
      <c r="F16" s="211">
        <f t="shared" si="1"/>
        <v>0</v>
      </c>
      <c r="G16" s="212">
        <f t="shared" si="2"/>
        <v>0</v>
      </c>
      <c r="H16" s="213">
        <f t="shared" si="0"/>
        <v>0</v>
      </c>
      <c r="I16" s="214"/>
      <c r="J16" s="215"/>
      <c r="K16" s="217"/>
    </row>
    <row r="17" spans="1:11" x14ac:dyDescent="0.3">
      <c r="A17" s="208"/>
      <c r="B17" s="208"/>
      <c r="C17" s="208"/>
      <c r="D17" s="209"/>
      <c r="E17" s="210"/>
      <c r="F17" s="211">
        <f t="shared" si="1"/>
        <v>0</v>
      </c>
      <c r="G17" s="212">
        <f t="shared" si="2"/>
        <v>0</v>
      </c>
      <c r="H17" s="213">
        <f t="shared" si="0"/>
        <v>0</v>
      </c>
      <c r="I17" s="214"/>
      <c r="J17" s="215"/>
      <c r="K17" s="217"/>
    </row>
    <row r="18" spans="1:11" x14ac:dyDescent="0.3">
      <c r="A18" s="208"/>
      <c r="B18" s="208"/>
      <c r="C18" s="208"/>
      <c r="D18" s="209"/>
      <c r="E18" s="210"/>
      <c r="F18" s="211">
        <f t="shared" si="1"/>
        <v>0</v>
      </c>
      <c r="G18" s="212">
        <f t="shared" si="2"/>
        <v>0</v>
      </c>
      <c r="H18" s="213">
        <f t="shared" si="0"/>
        <v>0</v>
      </c>
      <c r="I18" s="214"/>
      <c r="J18" s="215"/>
      <c r="K18" s="217"/>
    </row>
    <row r="19" spans="1:11" x14ac:dyDescent="0.3">
      <c r="A19" s="208"/>
      <c r="B19" s="208"/>
      <c r="C19" s="208"/>
      <c r="D19" s="209"/>
      <c r="E19" s="210"/>
      <c r="F19" s="211">
        <f t="shared" si="1"/>
        <v>0</v>
      </c>
      <c r="G19" s="212">
        <f t="shared" si="2"/>
        <v>0</v>
      </c>
      <c r="H19" s="213">
        <f t="shared" si="0"/>
        <v>0</v>
      </c>
      <c r="I19" s="214"/>
      <c r="J19" s="215"/>
      <c r="K19" s="217"/>
    </row>
    <row r="20" spans="1:11" x14ac:dyDescent="0.3">
      <c r="A20" s="208"/>
      <c r="B20" s="208"/>
      <c r="C20" s="208"/>
      <c r="D20" s="209"/>
      <c r="E20" s="210"/>
      <c r="F20" s="211">
        <f t="shared" si="1"/>
        <v>0</v>
      </c>
      <c r="G20" s="212">
        <f t="shared" si="2"/>
        <v>0</v>
      </c>
      <c r="H20" s="213">
        <f t="shared" si="0"/>
        <v>0</v>
      </c>
      <c r="I20" s="214"/>
      <c r="J20" s="215"/>
      <c r="K20" s="217"/>
    </row>
    <row r="21" spans="1:11" x14ac:dyDescent="0.3">
      <c r="A21" s="208"/>
      <c r="B21" s="208"/>
      <c r="C21" s="208"/>
      <c r="D21" s="209"/>
      <c r="E21" s="210"/>
      <c r="F21" s="211">
        <f t="shared" si="1"/>
        <v>0</v>
      </c>
      <c r="G21" s="212">
        <f t="shared" si="2"/>
        <v>0</v>
      </c>
      <c r="H21" s="213">
        <f t="shared" si="0"/>
        <v>0</v>
      </c>
      <c r="I21" s="214"/>
      <c r="J21" s="215"/>
      <c r="K21" s="217"/>
    </row>
    <row r="22" spans="1:11" x14ac:dyDescent="0.3">
      <c r="A22" s="208"/>
      <c r="B22" s="208"/>
      <c r="C22" s="208"/>
      <c r="D22" s="209"/>
      <c r="E22" s="210"/>
      <c r="F22" s="211">
        <f t="shared" si="1"/>
        <v>0</v>
      </c>
      <c r="G22" s="212">
        <f t="shared" si="2"/>
        <v>0</v>
      </c>
      <c r="H22" s="213">
        <f t="shared" si="0"/>
        <v>0</v>
      </c>
      <c r="I22" s="214"/>
      <c r="J22" s="215"/>
      <c r="K22" s="217"/>
    </row>
    <row r="23" spans="1:11" x14ac:dyDescent="0.3">
      <c r="A23" s="208"/>
      <c r="B23" s="208"/>
      <c r="C23" s="208"/>
      <c r="D23" s="209"/>
      <c r="E23" s="210"/>
      <c r="F23" s="211">
        <f t="shared" si="1"/>
        <v>0</v>
      </c>
      <c r="G23" s="212">
        <f t="shared" si="2"/>
        <v>0</v>
      </c>
      <c r="H23" s="213">
        <f t="shared" si="0"/>
        <v>0</v>
      </c>
      <c r="I23" s="214"/>
      <c r="J23" s="215"/>
      <c r="K23" s="217"/>
    </row>
    <row r="24" spans="1:11" x14ac:dyDescent="0.3">
      <c r="A24" s="208"/>
      <c r="B24" s="208"/>
      <c r="C24" s="208"/>
      <c r="D24" s="209"/>
      <c r="E24" s="210"/>
      <c r="F24" s="211">
        <f t="shared" si="1"/>
        <v>0</v>
      </c>
      <c r="G24" s="212">
        <f t="shared" si="2"/>
        <v>0</v>
      </c>
      <c r="H24" s="213">
        <f t="shared" si="0"/>
        <v>0</v>
      </c>
      <c r="I24" s="214"/>
      <c r="J24" s="215"/>
      <c r="K24" s="217"/>
    </row>
    <row r="25" spans="1:11" x14ac:dyDescent="0.3">
      <c r="A25" s="208"/>
      <c r="B25" s="208"/>
      <c r="C25" s="208"/>
      <c r="D25" s="209"/>
      <c r="E25" s="210"/>
      <c r="F25" s="211">
        <f t="shared" si="1"/>
        <v>0</v>
      </c>
      <c r="G25" s="212">
        <f t="shared" si="2"/>
        <v>0</v>
      </c>
      <c r="H25" s="213">
        <f t="shared" si="0"/>
        <v>0</v>
      </c>
      <c r="I25" s="214"/>
      <c r="J25" s="215"/>
      <c r="K25" s="217"/>
    </row>
    <row r="27" spans="1:11" x14ac:dyDescent="0.3">
      <c r="H27" s="202"/>
    </row>
  </sheetData>
  <mergeCells count="3">
    <mergeCell ref="B1:G3"/>
    <mergeCell ref="H1:H3"/>
    <mergeCell ref="D6:F8"/>
  </mergeCells>
  <conditionalFormatting sqref="A14:K25">
    <cfRule type="expression" dxfId="3" priority="1">
      <formula>OR(AND($G14&gt;3%),AND($G14&lt;-3%))</formula>
    </cfRule>
    <cfRule type="expression" dxfId="2" priority="2">
      <formula>OR(AND($G14&lt;3%,$G14&gt;-3%))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A0AA-9DF0-46E9-AD86-60FB23CC4836}">
  <sheetPr>
    <tabColor rgb="FF00B050"/>
  </sheetPr>
  <dimension ref="A1:E688"/>
  <sheetViews>
    <sheetView workbookViewId="0">
      <selection activeCell="D6" sqref="D6"/>
    </sheetView>
  </sheetViews>
  <sheetFormatPr baseColWidth="10" defaultColWidth="0" defaultRowHeight="13.2" x14ac:dyDescent="0.25"/>
  <cols>
    <col min="1" max="1" width="3.109375" style="191" customWidth="1"/>
    <col min="2" max="2" width="16" style="191" customWidth="1"/>
    <col min="3" max="3" width="54.5546875" style="191" customWidth="1"/>
    <col min="4" max="4" width="17.109375" style="191" customWidth="1"/>
    <col min="5" max="5" width="3.109375" style="191" customWidth="1"/>
    <col min="6" max="16384" width="11.44140625" style="191" hidden="1"/>
  </cols>
  <sheetData>
    <row r="1" spans="2:4" ht="13.8" thickBot="1" x14ac:dyDescent="0.3"/>
    <row r="2" spans="2:4" ht="15" thickBot="1" x14ac:dyDescent="0.35">
      <c r="B2" s="192" t="s">
        <v>46</v>
      </c>
      <c r="C2" s="193" t="s">
        <v>47</v>
      </c>
      <c r="D2" s="194" t="s">
        <v>48</v>
      </c>
    </row>
    <row r="3" spans="2:4" ht="14.4" x14ac:dyDescent="0.3">
      <c r="D3" s="195"/>
    </row>
    <row r="4" spans="2:4" ht="14.4" x14ac:dyDescent="0.3">
      <c r="D4" s="195"/>
    </row>
    <row r="5" spans="2:4" ht="14.4" x14ac:dyDescent="0.3">
      <c r="D5" s="195"/>
    </row>
    <row r="6" spans="2:4" ht="14.4" x14ac:dyDescent="0.3">
      <c r="D6" s="195"/>
    </row>
    <row r="7" spans="2:4" ht="14.4" x14ac:dyDescent="0.3">
      <c r="D7" s="195"/>
    </row>
    <row r="8" spans="2:4" ht="14.4" x14ac:dyDescent="0.3">
      <c r="D8" s="195"/>
    </row>
    <row r="9" spans="2:4" ht="14.4" x14ac:dyDescent="0.3">
      <c r="D9" s="195"/>
    </row>
    <row r="10" spans="2:4" ht="14.4" x14ac:dyDescent="0.3">
      <c r="D10" s="195"/>
    </row>
    <row r="11" spans="2:4" ht="14.4" x14ac:dyDescent="0.3">
      <c r="D11" s="195"/>
    </row>
    <row r="12" spans="2:4" ht="14.4" x14ac:dyDescent="0.3">
      <c r="D12" s="195"/>
    </row>
    <row r="13" spans="2:4" ht="14.4" x14ac:dyDescent="0.3">
      <c r="D13" s="195"/>
    </row>
    <row r="14" spans="2:4" ht="14.4" x14ac:dyDescent="0.3">
      <c r="D14" s="195"/>
    </row>
    <row r="15" spans="2:4" ht="14.4" x14ac:dyDescent="0.3">
      <c r="D15" s="195"/>
    </row>
    <row r="16" spans="2:4" ht="14.4" x14ac:dyDescent="0.3">
      <c r="D16" s="195"/>
    </row>
    <row r="17" spans="4:4" ht="14.4" x14ac:dyDescent="0.3">
      <c r="D17" s="195"/>
    </row>
    <row r="18" spans="4:4" ht="14.4" x14ac:dyDescent="0.3">
      <c r="D18" s="195"/>
    </row>
    <row r="19" spans="4:4" ht="14.4" x14ac:dyDescent="0.3">
      <c r="D19" s="195"/>
    </row>
    <row r="20" spans="4:4" ht="14.4" x14ac:dyDescent="0.3">
      <c r="D20" s="195"/>
    </row>
    <row r="21" spans="4:4" ht="14.4" x14ac:dyDescent="0.3">
      <c r="D21" s="195"/>
    </row>
    <row r="22" spans="4:4" ht="14.4" x14ac:dyDescent="0.3">
      <c r="D22" s="195"/>
    </row>
    <row r="23" spans="4:4" ht="14.4" x14ac:dyDescent="0.3">
      <c r="D23" s="195"/>
    </row>
    <row r="24" spans="4:4" ht="14.4" x14ac:dyDescent="0.3">
      <c r="D24" s="195"/>
    </row>
    <row r="25" spans="4:4" ht="14.4" x14ac:dyDescent="0.3">
      <c r="D25" s="195"/>
    </row>
    <row r="26" spans="4:4" ht="14.4" x14ac:dyDescent="0.3">
      <c r="D26" s="195"/>
    </row>
    <row r="27" spans="4:4" ht="14.4" x14ac:dyDescent="0.3">
      <c r="D27" s="195"/>
    </row>
    <row r="28" spans="4:4" ht="14.4" x14ac:dyDescent="0.3">
      <c r="D28" s="195"/>
    </row>
    <row r="29" spans="4:4" ht="14.4" x14ac:dyDescent="0.3">
      <c r="D29" s="195"/>
    </row>
    <row r="30" spans="4:4" ht="14.4" x14ac:dyDescent="0.3">
      <c r="D30" s="195"/>
    </row>
    <row r="31" spans="4:4" ht="14.4" x14ac:dyDescent="0.3">
      <c r="D31" s="195"/>
    </row>
    <row r="32" spans="4:4" ht="14.4" x14ac:dyDescent="0.3">
      <c r="D32" s="195"/>
    </row>
    <row r="33" spans="4:4" ht="14.4" x14ac:dyDescent="0.3">
      <c r="D33" s="195"/>
    </row>
    <row r="34" spans="4:4" ht="14.4" x14ac:dyDescent="0.3">
      <c r="D34" s="195"/>
    </row>
    <row r="35" spans="4:4" ht="14.4" x14ac:dyDescent="0.3">
      <c r="D35" s="195"/>
    </row>
    <row r="36" spans="4:4" ht="14.4" x14ac:dyDescent="0.3">
      <c r="D36" s="195"/>
    </row>
    <row r="37" spans="4:4" ht="14.4" x14ac:dyDescent="0.3">
      <c r="D37" s="195"/>
    </row>
    <row r="38" spans="4:4" ht="14.4" x14ac:dyDescent="0.3">
      <c r="D38" s="195"/>
    </row>
    <row r="39" spans="4:4" ht="14.4" x14ac:dyDescent="0.3">
      <c r="D39" s="195"/>
    </row>
    <row r="40" spans="4:4" ht="14.4" x14ac:dyDescent="0.3">
      <c r="D40" s="195"/>
    </row>
    <row r="41" spans="4:4" ht="14.4" x14ac:dyDescent="0.3">
      <c r="D41" s="195"/>
    </row>
    <row r="42" spans="4:4" ht="14.4" x14ac:dyDescent="0.3">
      <c r="D42" s="195"/>
    </row>
    <row r="43" spans="4:4" ht="14.4" x14ac:dyDescent="0.3">
      <c r="D43" s="195"/>
    </row>
    <row r="44" spans="4:4" ht="14.4" x14ac:dyDescent="0.3">
      <c r="D44" s="195"/>
    </row>
    <row r="45" spans="4:4" ht="14.4" x14ac:dyDescent="0.3">
      <c r="D45" s="195"/>
    </row>
    <row r="46" spans="4:4" ht="14.4" x14ac:dyDescent="0.3">
      <c r="D46" s="195"/>
    </row>
    <row r="47" spans="4:4" ht="14.4" x14ac:dyDescent="0.3">
      <c r="D47" s="195"/>
    </row>
    <row r="48" spans="4:4" ht="14.4" x14ac:dyDescent="0.3">
      <c r="D48" s="195"/>
    </row>
    <row r="49" spans="4:4" ht="14.4" x14ac:dyDescent="0.3">
      <c r="D49" s="195"/>
    </row>
    <row r="50" spans="4:4" ht="14.4" x14ac:dyDescent="0.3">
      <c r="D50" s="195"/>
    </row>
    <row r="51" spans="4:4" ht="14.4" x14ac:dyDescent="0.3">
      <c r="D51" s="195"/>
    </row>
    <row r="52" spans="4:4" ht="14.4" x14ac:dyDescent="0.3">
      <c r="D52" s="195"/>
    </row>
    <row r="53" spans="4:4" ht="14.4" x14ac:dyDescent="0.3">
      <c r="D53" s="195"/>
    </row>
    <row r="54" spans="4:4" ht="14.4" x14ac:dyDescent="0.3">
      <c r="D54" s="195"/>
    </row>
    <row r="55" spans="4:4" ht="14.4" x14ac:dyDescent="0.3">
      <c r="D55" s="195"/>
    </row>
    <row r="56" spans="4:4" ht="14.4" x14ac:dyDescent="0.3">
      <c r="D56" s="195"/>
    </row>
    <row r="57" spans="4:4" ht="14.4" x14ac:dyDescent="0.3">
      <c r="D57" s="195"/>
    </row>
    <row r="58" spans="4:4" ht="14.4" x14ac:dyDescent="0.3">
      <c r="D58" s="195"/>
    </row>
    <row r="59" spans="4:4" ht="14.4" x14ac:dyDescent="0.3">
      <c r="D59" s="195"/>
    </row>
    <row r="60" spans="4:4" ht="14.4" x14ac:dyDescent="0.3">
      <c r="D60" s="195"/>
    </row>
    <row r="61" spans="4:4" ht="14.4" x14ac:dyDescent="0.3">
      <c r="D61" s="195"/>
    </row>
    <row r="62" spans="4:4" ht="14.4" x14ac:dyDescent="0.3">
      <c r="D62" s="195"/>
    </row>
    <row r="63" spans="4:4" ht="14.4" x14ac:dyDescent="0.3">
      <c r="D63" s="195"/>
    </row>
    <row r="64" spans="4:4" ht="14.4" x14ac:dyDescent="0.3">
      <c r="D64" s="195"/>
    </row>
    <row r="65" spans="4:4" ht="14.4" x14ac:dyDescent="0.3">
      <c r="D65" s="195"/>
    </row>
    <row r="66" spans="4:4" ht="14.4" x14ac:dyDescent="0.3">
      <c r="D66" s="195"/>
    </row>
    <row r="67" spans="4:4" ht="14.4" x14ac:dyDescent="0.3">
      <c r="D67" s="195"/>
    </row>
    <row r="68" spans="4:4" ht="14.4" x14ac:dyDescent="0.3">
      <c r="D68" s="195"/>
    </row>
    <row r="69" spans="4:4" ht="14.4" x14ac:dyDescent="0.3">
      <c r="D69" s="195"/>
    </row>
    <row r="70" spans="4:4" ht="14.4" x14ac:dyDescent="0.3">
      <c r="D70" s="195"/>
    </row>
    <row r="71" spans="4:4" ht="14.4" x14ac:dyDescent="0.3">
      <c r="D71" s="195"/>
    </row>
    <row r="72" spans="4:4" ht="14.4" x14ac:dyDescent="0.3">
      <c r="D72" s="195"/>
    </row>
    <row r="73" spans="4:4" ht="14.4" x14ac:dyDescent="0.3">
      <c r="D73" s="195"/>
    </row>
    <row r="74" spans="4:4" ht="14.4" x14ac:dyDescent="0.3">
      <c r="D74" s="195"/>
    </row>
    <row r="75" spans="4:4" ht="14.4" x14ac:dyDescent="0.3">
      <c r="D75" s="195"/>
    </row>
    <row r="76" spans="4:4" ht="14.4" x14ac:dyDescent="0.3">
      <c r="D76" s="195"/>
    </row>
    <row r="77" spans="4:4" ht="14.4" x14ac:dyDescent="0.3">
      <c r="D77" s="195"/>
    </row>
    <row r="78" spans="4:4" ht="14.4" x14ac:dyDescent="0.3">
      <c r="D78" s="195"/>
    </row>
    <row r="79" spans="4:4" ht="14.4" x14ac:dyDescent="0.3">
      <c r="D79" s="195"/>
    </row>
    <row r="80" spans="4:4" ht="14.4" x14ac:dyDescent="0.3">
      <c r="D80" s="195"/>
    </row>
    <row r="81" spans="4:4" ht="14.4" x14ac:dyDescent="0.3">
      <c r="D81" s="195"/>
    </row>
    <row r="82" spans="4:4" ht="14.4" x14ac:dyDescent="0.3">
      <c r="D82" s="195"/>
    </row>
    <row r="83" spans="4:4" ht="14.4" x14ac:dyDescent="0.3">
      <c r="D83" s="195"/>
    </row>
    <row r="84" spans="4:4" ht="14.4" x14ac:dyDescent="0.3">
      <c r="D84" s="195"/>
    </row>
    <row r="85" spans="4:4" ht="14.4" x14ac:dyDescent="0.3">
      <c r="D85" s="195"/>
    </row>
    <row r="86" spans="4:4" ht="14.4" x14ac:dyDescent="0.3">
      <c r="D86" s="195"/>
    </row>
    <row r="87" spans="4:4" ht="14.4" x14ac:dyDescent="0.3">
      <c r="D87" s="195"/>
    </row>
    <row r="88" spans="4:4" ht="14.4" x14ac:dyDescent="0.3">
      <c r="D88" s="195"/>
    </row>
    <row r="89" spans="4:4" ht="14.4" x14ac:dyDescent="0.3">
      <c r="D89" s="195"/>
    </row>
    <row r="90" spans="4:4" ht="14.4" x14ac:dyDescent="0.3">
      <c r="D90" s="195"/>
    </row>
    <row r="91" spans="4:4" ht="14.4" x14ac:dyDescent="0.3">
      <c r="D91" s="195"/>
    </row>
    <row r="92" spans="4:4" ht="14.4" x14ac:dyDescent="0.3">
      <c r="D92" s="195"/>
    </row>
    <row r="93" spans="4:4" ht="14.4" x14ac:dyDescent="0.3">
      <c r="D93" s="195"/>
    </row>
    <row r="94" spans="4:4" ht="14.4" x14ac:dyDescent="0.3">
      <c r="D94" s="195"/>
    </row>
    <row r="95" spans="4:4" ht="14.4" x14ac:dyDescent="0.3">
      <c r="D95" s="195"/>
    </row>
    <row r="96" spans="4:4" ht="14.4" x14ac:dyDescent="0.3">
      <c r="D96" s="195"/>
    </row>
    <row r="97" spans="4:4" ht="14.4" x14ac:dyDescent="0.3">
      <c r="D97" s="195"/>
    </row>
    <row r="98" spans="4:4" ht="14.4" x14ac:dyDescent="0.3">
      <c r="D98" s="195"/>
    </row>
    <row r="99" spans="4:4" ht="14.4" x14ac:dyDescent="0.3">
      <c r="D99" s="195"/>
    </row>
    <row r="100" spans="4:4" ht="14.4" x14ac:dyDescent="0.3">
      <c r="D100" s="195"/>
    </row>
    <row r="101" spans="4:4" ht="14.4" x14ac:dyDescent="0.3">
      <c r="D101" s="195"/>
    </row>
    <row r="102" spans="4:4" ht="14.4" x14ac:dyDescent="0.3">
      <c r="D102" s="195"/>
    </row>
    <row r="103" spans="4:4" ht="14.4" x14ac:dyDescent="0.3">
      <c r="D103" s="195"/>
    </row>
    <row r="104" spans="4:4" ht="14.4" x14ac:dyDescent="0.3">
      <c r="D104" s="195"/>
    </row>
    <row r="105" spans="4:4" ht="14.4" x14ac:dyDescent="0.3">
      <c r="D105" s="195"/>
    </row>
    <row r="106" spans="4:4" ht="14.4" x14ac:dyDescent="0.3">
      <c r="D106" s="195"/>
    </row>
    <row r="107" spans="4:4" ht="14.4" x14ac:dyDescent="0.3">
      <c r="D107" s="195"/>
    </row>
    <row r="108" spans="4:4" ht="14.4" x14ac:dyDescent="0.3">
      <c r="D108" s="195"/>
    </row>
    <row r="109" spans="4:4" ht="14.4" x14ac:dyDescent="0.3">
      <c r="D109" s="195"/>
    </row>
    <row r="110" spans="4:4" ht="14.4" x14ac:dyDescent="0.3">
      <c r="D110" s="195"/>
    </row>
    <row r="111" spans="4:4" ht="14.4" x14ac:dyDescent="0.3">
      <c r="D111" s="195"/>
    </row>
    <row r="112" spans="4:4" ht="14.4" x14ac:dyDescent="0.3">
      <c r="D112" s="195"/>
    </row>
    <row r="113" spans="4:4" ht="14.4" x14ac:dyDescent="0.3">
      <c r="D113" s="195"/>
    </row>
    <row r="114" spans="4:4" ht="14.4" x14ac:dyDescent="0.3">
      <c r="D114" s="195"/>
    </row>
    <row r="115" spans="4:4" ht="14.4" x14ac:dyDescent="0.3">
      <c r="D115" s="195"/>
    </row>
    <row r="116" spans="4:4" ht="14.4" x14ac:dyDescent="0.3">
      <c r="D116" s="195"/>
    </row>
    <row r="117" spans="4:4" ht="14.4" x14ac:dyDescent="0.3">
      <c r="D117" s="195"/>
    </row>
    <row r="118" spans="4:4" ht="14.4" x14ac:dyDescent="0.3">
      <c r="D118" s="195"/>
    </row>
    <row r="119" spans="4:4" ht="14.4" x14ac:dyDescent="0.3">
      <c r="D119" s="195"/>
    </row>
    <row r="120" spans="4:4" ht="14.4" x14ac:dyDescent="0.3">
      <c r="D120" s="195"/>
    </row>
    <row r="121" spans="4:4" ht="14.4" x14ac:dyDescent="0.3">
      <c r="D121" s="195"/>
    </row>
    <row r="122" spans="4:4" ht="14.4" x14ac:dyDescent="0.3">
      <c r="D122" s="195"/>
    </row>
    <row r="123" spans="4:4" ht="14.4" x14ac:dyDescent="0.3">
      <c r="D123" s="195"/>
    </row>
    <row r="124" spans="4:4" ht="14.4" x14ac:dyDescent="0.3">
      <c r="D124" s="195"/>
    </row>
    <row r="125" spans="4:4" ht="14.4" x14ac:dyDescent="0.3">
      <c r="D125" s="195"/>
    </row>
    <row r="126" spans="4:4" ht="14.4" x14ac:dyDescent="0.3">
      <c r="D126" s="195"/>
    </row>
    <row r="127" spans="4:4" ht="14.4" x14ac:dyDescent="0.3">
      <c r="D127" s="195"/>
    </row>
    <row r="128" spans="4:4" ht="14.4" x14ac:dyDescent="0.3">
      <c r="D128" s="195"/>
    </row>
    <row r="129" spans="4:4" ht="14.4" x14ac:dyDescent="0.3">
      <c r="D129" s="195"/>
    </row>
    <row r="130" spans="4:4" ht="14.4" x14ac:dyDescent="0.3">
      <c r="D130" s="195"/>
    </row>
    <row r="131" spans="4:4" ht="14.4" x14ac:dyDescent="0.3">
      <c r="D131" s="195"/>
    </row>
    <row r="132" spans="4:4" ht="14.4" x14ac:dyDescent="0.3">
      <c r="D132" s="195"/>
    </row>
    <row r="133" spans="4:4" ht="14.4" x14ac:dyDescent="0.3">
      <c r="D133" s="195"/>
    </row>
    <row r="134" spans="4:4" ht="14.4" x14ac:dyDescent="0.3">
      <c r="D134" s="195"/>
    </row>
    <row r="135" spans="4:4" ht="14.4" x14ac:dyDescent="0.3">
      <c r="D135" s="195"/>
    </row>
    <row r="136" spans="4:4" ht="14.4" x14ac:dyDescent="0.3">
      <c r="D136" s="195"/>
    </row>
    <row r="137" spans="4:4" ht="14.4" x14ac:dyDescent="0.3">
      <c r="D137" s="195"/>
    </row>
    <row r="138" spans="4:4" ht="14.4" x14ac:dyDescent="0.3">
      <c r="D138" s="195"/>
    </row>
    <row r="139" spans="4:4" ht="14.4" x14ac:dyDescent="0.3">
      <c r="D139" s="195"/>
    </row>
    <row r="140" spans="4:4" ht="14.4" x14ac:dyDescent="0.3">
      <c r="D140" s="195"/>
    </row>
    <row r="141" spans="4:4" ht="14.4" x14ac:dyDescent="0.3">
      <c r="D141" s="195"/>
    </row>
    <row r="142" spans="4:4" ht="14.4" x14ac:dyDescent="0.3">
      <c r="D142" s="195"/>
    </row>
    <row r="143" spans="4:4" ht="14.4" x14ac:dyDescent="0.3">
      <c r="D143" s="195"/>
    </row>
    <row r="144" spans="4:4" ht="14.4" x14ac:dyDescent="0.3">
      <c r="D144" s="195"/>
    </row>
    <row r="145" spans="4:4" ht="14.4" x14ac:dyDescent="0.3">
      <c r="D145" s="195"/>
    </row>
    <row r="146" spans="4:4" ht="14.4" x14ac:dyDescent="0.3">
      <c r="D146" s="195"/>
    </row>
    <row r="147" spans="4:4" ht="14.4" x14ac:dyDescent="0.3">
      <c r="D147" s="195"/>
    </row>
    <row r="148" spans="4:4" ht="14.4" x14ac:dyDescent="0.3">
      <c r="D148" s="195"/>
    </row>
    <row r="149" spans="4:4" ht="14.4" x14ac:dyDescent="0.3">
      <c r="D149" s="195"/>
    </row>
    <row r="150" spans="4:4" ht="14.4" x14ac:dyDescent="0.3">
      <c r="D150" s="195"/>
    </row>
    <row r="151" spans="4:4" ht="14.4" x14ac:dyDescent="0.3">
      <c r="D151" s="195"/>
    </row>
    <row r="152" spans="4:4" ht="14.4" x14ac:dyDescent="0.3">
      <c r="D152" s="195"/>
    </row>
    <row r="153" spans="4:4" ht="14.4" x14ac:dyDescent="0.3">
      <c r="D153" s="195"/>
    </row>
    <row r="154" spans="4:4" ht="14.4" x14ac:dyDescent="0.3">
      <c r="D154" s="195"/>
    </row>
    <row r="155" spans="4:4" ht="14.4" x14ac:dyDescent="0.3">
      <c r="D155" s="195"/>
    </row>
    <row r="156" spans="4:4" ht="14.4" x14ac:dyDescent="0.3">
      <c r="D156" s="195"/>
    </row>
    <row r="157" spans="4:4" ht="14.4" x14ac:dyDescent="0.3">
      <c r="D157" s="195"/>
    </row>
    <row r="158" spans="4:4" ht="14.4" x14ac:dyDescent="0.3">
      <c r="D158" s="195"/>
    </row>
    <row r="159" spans="4:4" ht="14.4" x14ac:dyDescent="0.3">
      <c r="D159" s="195"/>
    </row>
    <row r="160" spans="4:4" ht="14.4" x14ac:dyDescent="0.3">
      <c r="D160" s="195"/>
    </row>
    <row r="161" spans="4:4" ht="14.4" x14ac:dyDescent="0.3">
      <c r="D161" s="195"/>
    </row>
    <row r="162" spans="4:4" ht="14.4" x14ac:dyDescent="0.3">
      <c r="D162" s="195"/>
    </row>
    <row r="163" spans="4:4" ht="14.4" x14ac:dyDescent="0.3">
      <c r="D163" s="195"/>
    </row>
    <row r="164" spans="4:4" ht="14.4" x14ac:dyDescent="0.3">
      <c r="D164" s="195"/>
    </row>
    <row r="165" spans="4:4" ht="14.4" x14ac:dyDescent="0.3">
      <c r="D165" s="195"/>
    </row>
    <row r="166" spans="4:4" ht="14.4" x14ac:dyDescent="0.3">
      <c r="D166" s="195"/>
    </row>
    <row r="167" spans="4:4" ht="14.4" x14ac:dyDescent="0.3">
      <c r="D167" s="195"/>
    </row>
    <row r="168" spans="4:4" ht="14.4" x14ac:dyDescent="0.3">
      <c r="D168" s="195"/>
    </row>
    <row r="169" spans="4:4" ht="14.4" x14ac:dyDescent="0.3">
      <c r="D169" s="195"/>
    </row>
    <row r="170" spans="4:4" ht="14.4" x14ac:dyDescent="0.3">
      <c r="D170" s="195"/>
    </row>
    <row r="171" spans="4:4" ht="14.4" x14ac:dyDescent="0.3">
      <c r="D171" s="195"/>
    </row>
    <row r="172" spans="4:4" ht="14.4" x14ac:dyDescent="0.3">
      <c r="D172" s="195"/>
    </row>
    <row r="173" spans="4:4" ht="14.4" x14ac:dyDescent="0.3">
      <c r="D173" s="195"/>
    </row>
    <row r="174" spans="4:4" ht="14.4" x14ac:dyDescent="0.3">
      <c r="D174" s="195"/>
    </row>
    <row r="175" spans="4:4" ht="14.4" x14ac:dyDescent="0.3">
      <c r="D175" s="195"/>
    </row>
    <row r="176" spans="4:4" ht="14.4" x14ac:dyDescent="0.3">
      <c r="D176" s="195"/>
    </row>
    <row r="177" spans="4:4" ht="14.4" x14ac:dyDescent="0.3">
      <c r="D177" s="195"/>
    </row>
    <row r="178" spans="4:4" ht="14.4" x14ac:dyDescent="0.3">
      <c r="D178" s="195"/>
    </row>
    <row r="179" spans="4:4" ht="14.4" x14ac:dyDescent="0.3">
      <c r="D179" s="195"/>
    </row>
    <row r="180" spans="4:4" ht="14.4" x14ac:dyDescent="0.3">
      <c r="D180" s="195"/>
    </row>
    <row r="181" spans="4:4" ht="14.4" x14ac:dyDescent="0.3">
      <c r="D181" s="195"/>
    </row>
    <row r="182" spans="4:4" ht="14.4" x14ac:dyDescent="0.3">
      <c r="D182" s="195"/>
    </row>
    <row r="183" spans="4:4" ht="14.4" x14ac:dyDescent="0.3">
      <c r="D183" s="195"/>
    </row>
    <row r="184" spans="4:4" ht="14.4" x14ac:dyDescent="0.3">
      <c r="D184" s="195"/>
    </row>
    <row r="185" spans="4:4" ht="14.4" x14ac:dyDescent="0.3">
      <c r="D185" s="195"/>
    </row>
    <row r="186" spans="4:4" ht="14.4" x14ac:dyDescent="0.3">
      <c r="D186" s="195"/>
    </row>
    <row r="187" spans="4:4" ht="14.4" x14ac:dyDescent="0.3">
      <c r="D187" s="195"/>
    </row>
    <row r="188" spans="4:4" ht="14.4" x14ac:dyDescent="0.3">
      <c r="D188" s="195"/>
    </row>
    <row r="189" spans="4:4" ht="14.4" x14ac:dyDescent="0.3">
      <c r="D189" s="195"/>
    </row>
    <row r="190" spans="4:4" ht="14.4" x14ac:dyDescent="0.3">
      <c r="D190" s="195"/>
    </row>
    <row r="191" spans="4:4" ht="14.4" x14ac:dyDescent="0.3">
      <c r="D191" s="195"/>
    </row>
    <row r="192" spans="4:4" ht="14.4" x14ac:dyDescent="0.3">
      <c r="D192" s="195"/>
    </row>
    <row r="193" spans="4:4" ht="14.4" x14ac:dyDescent="0.3">
      <c r="D193" s="195"/>
    </row>
    <row r="194" spans="4:4" ht="14.4" x14ac:dyDescent="0.3">
      <c r="D194" s="195"/>
    </row>
    <row r="195" spans="4:4" ht="14.4" x14ac:dyDescent="0.3">
      <c r="D195" s="195"/>
    </row>
    <row r="196" spans="4:4" ht="14.4" x14ac:dyDescent="0.3">
      <c r="D196" s="195"/>
    </row>
    <row r="197" spans="4:4" ht="14.4" x14ac:dyDescent="0.3">
      <c r="D197" s="195"/>
    </row>
    <row r="198" spans="4:4" ht="14.4" x14ac:dyDescent="0.3">
      <c r="D198" s="195"/>
    </row>
    <row r="199" spans="4:4" ht="14.4" x14ac:dyDescent="0.3">
      <c r="D199" s="195"/>
    </row>
    <row r="200" spans="4:4" ht="14.4" x14ac:dyDescent="0.3">
      <c r="D200" s="195"/>
    </row>
    <row r="201" spans="4:4" ht="14.4" x14ac:dyDescent="0.3">
      <c r="D201" s="195"/>
    </row>
    <row r="202" spans="4:4" ht="14.4" x14ac:dyDescent="0.3">
      <c r="D202" s="195"/>
    </row>
    <row r="203" spans="4:4" ht="14.4" x14ac:dyDescent="0.3">
      <c r="D203" s="195"/>
    </row>
    <row r="204" spans="4:4" ht="14.4" x14ac:dyDescent="0.3">
      <c r="D204" s="195"/>
    </row>
    <row r="205" spans="4:4" ht="14.4" x14ac:dyDescent="0.3">
      <c r="D205" s="195"/>
    </row>
    <row r="206" spans="4:4" ht="14.4" x14ac:dyDescent="0.3">
      <c r="D206" s="195"/>
    </row>
    <row r="207" spans="4:4" ht="14.4" x14ac:dyDescent="0.3">
      <c r="D207" s="195"/>
    </row>
    <row r="208" spans="4:4" ht="14.4" x14ac:dyDescent="0.3">
      <c r="D208" s="195"/>
    </row>
    <row r="209" spans="4:4" ht="14.4" x14ac:dyDescent="0.3">
      <c r="D209" s="195"/>
    </row>
    <row r="210" spans="4:4" ht="14.4" x14ac:dyDescent="0.3">
      <c r="D210" s="195"/>
    </row>
    <row r="211" spans="4:4" ht="14.4" x14ac:dyDescent="0.3">
      <c r="D211" s="195"/>
    </row>
    <row r="212" spans="4:4" ht="14.4" x14ac:dyDescent="0.3">
      <c r="D212" s="195"/>
    </row>
    <row r="213" spans="4:4" ht="14.4" x14ac:dyDescent="0.3">
      <c r="D213" s="195"/>
    </row>
    <row r="214" spans="4:4" ht="14.4" x14ac:dyDescent="0.3">
      <c r="D214" s="195"/>
    </row>
    <row r="215" spans="4:4" ht="14.4" x14ac:dyDescent="0.3">
      <c r="D215" s="195"/>
    </row>
    <row r="216" spans="4:4" ht="14.4" x14ac:dyDescent="0.3">
      <c r="D216" s="195"/>
    </row>
    <row r="217" spans="4:4" ht="14.4" x14ac:dyDescent="0.3">
      <c r="D217" s="195"/>
    </row>
    <row r="218" spans="4:4" ht="14.4" x14ac:dyDescent="0.3">
      <c r="D218" s="195"/>
    </row>
    <row r="219" spans="4:4" ht="14.4" x14ac:dyDescent="0.3">
      <c r="D219" s="195"/>
    </row>
    <row r="220" spans="4:4" ht="14.4" x14ac:dyDescent="0.3">
      <c r="D220" s="195"/>
    </row>
    <row r="221" spans="4:4" ht="14.4" x14ac:dyDescent="0.3">
      <c r="D221" s="195"/>
    </row>
    <row r="222" spans="4:4" ht="14.4" x14ac:dyDescent="0.3">
      <c r="D222" s="195"/>
    </row>
    <row r="223" spans="4:4" ht="14.4" x14ac:dyDescent="0.3">
      <c r="D223" s="195"/>
    </row>
    <row r="224" spans="4:4" ht="14.4" x14ac:dyDescent="0.3">
      <c r="D224" s="195"/>
    </row>
    <row r="225" spans="4:4" ht="14.4" x14ac:dyDescent="0.3">
      <c r="D225" s="195"/>
    </row>
    <row r="226" spans="4:4" ht="14.4" x14ac:dyDescent="0.3">
      <c r="D226" s="195"/>
    </row>
    <row r="227" spans="4:4" ht="14.4" x14ac:dyDescent="0.3">
      <c r="D227" s="195"/>
    </row>
    <row r="228" spans="4:4" ht="14.4" x14ac:dyDescent="0.3">
      <c r="D228" s="195"/>
    </row>
    <row r="229" spans="4:4" ht="14.4" x14ac:dyDescent="0.3">
      <c r="D229" s="195"/>
    </row>
    <row r="230" spans="4:4" ht="14.4" x14ac:dyDescent="0.3">
      <c r="D230" s="195"/>
    </row>
    <row r="231" spans="4:4" ht="14.4" x14ac:dyDescent="0.3">
      <c r="D231" s="195"/>
    </row>
    <row r="232" spans="4:4" ht="14.4" x14ac:dyDescent="0.3">
      <c r="D232" s="195"/>
    </row>
    <row r="233" spans="4:4" ht="14.4" x14ac:dyDescent="0.3">
      <c r="D233" s="195"/>
    </row>
    <row r="234" spans="4:4" ht="14.4" x14ac:dyDescent="0.3">
      <c r="D234" s="195"/>
    </row>
    <row r="235" spans="4:4" ht="14.4" x14ac:dyDescent="0.3">
      <c r="D235" s="195"/>
    </row>
    <row r="236" spans="4:4" ht="14.4" x14ac:dyDescent="0.3">
      <c r="D236" s="195"/>
    </row>
    <row r="237" spans="4:4" ht="14.4" x14ac:dyDescent="0.3">
      <c r="D237" s="195"/>
    </row>
    <row r="238" spans="4:4" ht="14.4" x14ac:dyDescent="0.3">
      <c r="D238" s="195"/>
    </row>
    <row r="239" spans="4:4" ht="14.4" x14ac:dyDescent="0.3">
      <c r="D239" s="195"/>
    </row>
    <row r="240" spans="4:4" ht="14.4" x14ac:dyDescent="0.3">
      <c r="D240" s="195"/>
    </row>
    <row r="241" spans="4:4" ht="14.4" x14ac:dyDescent="0.3">
      <c r="D241" s="195"/>
    </row>
    <row r="242" spans="4:4" ht="14.4" x14ac:dyDescent="0.3">
      <c r="D242" s="195"/>
    </row>
    <row r="243" spans="4:4" ht="14.4" x14ac:dyDescent="0.3">
      <c r="D243" s="195"/>
    </row>
    <row r="244" spans="4:4" ht="14.4" x14ac:dyDescent="0.3">
      <c r="D244" s="195"/>
    </row>
    <row r="245" spans="4:4" ht="14.4" x14ac:dyDescent="0.3">
      <c r="D245" s="195"/>
    </row>
    <row r="246" spans="4:4" ht="14.4" x14ac:dyDescent="0.3">
      <c r="D246" s="195"/>
    </row>
    <row r="247" spans="4:4" ht="14.4" x14ac:dyDescent="0.3">
      <c r="D247" s="195"/>
    </row>
    <row r="248" spans="4:4" ht="14.4" x14ac:dyDescent="0.3">
      <c r="D248" s="195"/>
    </row>
    <row r="249" spans="4:4" ht="14.4" x14ac:dyDescent="0.3">
      <c r="D249" s="195"/>
    </row>
    <row r="250" spans="4:4" ht="14.4" x14ac:dyDescent="0.3">
      <c r="D250" s="195"/>
    </row>
    <row r="251" spans="4:4" ht="14.4" x14ac:dyDescent="0.3">
      <c r="D251" s="195"/>
    </row>
    <row r="252" spans="4:4" ht="14.4" x14ac:dyDescent="0.3">
      <c r="D252" s="195"/>
    </row>
    <row r="253" spans="4:4" ht="14.4" x14ac:dyDescent="0.3">
      <c r="D253" s="195"/>
    </row>
    <row r="254" spans="4:4" ht="14.4" x14ac:dyDescent="0.3">
      <c r="D254" s="195"/>
    </row>
    <row r="255" spans="4:4" ht="14.4" x14ac:dyDescent="0.3">
      <c r="D255" s="195"/>
    </row>
    <row r="256" spans="4:4" ht="14.4" x14ac:dyDescent="0.3">
      <c r="D256" s="195"/>
    </row>
    <row r="257" spans="4:4" ht="14.4" x14ac:dyDescent="0.3">
      <c r="D257" s="195"/>
    </row>
    <row r="258" spans="4:4" ht="14.4" x14ac:dyDescent="0.3">
      <c r="D258" s="195"/>
    </row>
    <row r="259" spans="4:4" ht="14.4" x14ac:dyDescent="0.3">
      <c r="D259" s="195"/>
    </row>
    <row r="260" spans="4:4" ht="14.4" x14ac:dyDescent="0.3">
      <c r="D260" s="195"/>
    </row>
    <row r="261" spans="4:4" ht="14.4" x14ac:dyDescent="0.3">
      <c r="D261" s="195"/>
    </row>
    <row r="262" spans="4:4" ht="14.4" x14ac:dyDescent="0.3">
      <c r="D262" s="195"/>
    </row>
    <row r="263" spans="4:4" ht="14.4" x14ac:dyDescent="0.3">
      <c r="D263" s="195"/>
    </row>
    <row r="264" spans="4:4" ht="14.4" x14ac:dyDescent="0.3">
      <c r="D264" s="195"/>
    </row>
    <row r="265" spans="4:4" ht="14.4" x14ac:dyDescent="0.3">
      <c r="D265" s="195"/>
    </row>
    <row r="266" spans="4:4" ht="14.4" x14ac:dyDescent="0.3">
      <c r="D266" s="195"/>
    </row>
    <row r="267" spans="4:4" ht="14.4" x14ac:dyDescent="0.3">
      <c r="D267" s="195"/>
    </row>
    <row r="268" spans="4:4" ht="14.4" x14ac:dyDescent="0.3">
      <c r="D268" s="195"/>
    </row>
    <row r="269" spans="4:4" ht="14.4" x14ac:dyDescent="0.3">
      <c r="D269" s="195"/>
    </row>
    <row r="270" spans="4:4" ht="14.4" x14ac:dyDescent="0.3">
      <c r="D270" s="195"/>
    </row>
    <row r="271" spans="4:4" ht="14.4" x14ac:dyDescent="0.3">
      <c r="D271" s="195"/>
    </row>
    <row r="272" spans="4:4" ht="14.4" x14ac:dyDescent="0.3">
      <c r="D272" s="195"/>
    </row>
    <row r="273" spans="4:4" ht="14.4" x14ac:dyDescent="0.3">
      <c r="D273" s="195"/>
    </row>
    <row r="274" spans="4:4" ht="14.4" x14ac:dyDescent="0.3">
      <c r="D274" s="195"/>
    </row>
    <row r="275" spans="4:4" ht="14.4" x14ac:dyDescent="0.3">
      <c r="D275" s="195"/>
    </row>
    <row r="276" spans="4:4" ht="14.4" x14ac:dyDescent="0.3">
      <c r="D276" s="195"/>
    </row>
    <row r="277" spans="4:4" ht="14.4" x14ac:dyDescent="0.3">
      <c r="D277" s="195"/>
    </row>
    <row r="278" spans="4:4" ht="14.4" x14ac:dyDescent="0.3">
      <c r="D278" s="195"/>
    </row>
    <row r="279" spans="4:4" ht="14.4" x14ac:dyDescent="0.3">
      <c r="D279" s="195"/>
    </row>
    <row r="280" spans="4:4" ht="14.4" x14ac:dyDescent="0.3">
      <c r="D280" s="195"/>
    </row>
    <row r="281" spans="4:4" ht="14.4" x14ac:dyDescent="0.3">
      <c r="D281" s="195"/>
    </row>
    <row r="282" spans="4:4" ht="14.4" x14ac:dyDescent="0.3">
      <c r="D282" s="195"/>
    </row>
    <row r="283" spans="4:4" ht="14.4" x14ac:dyDescent="0.3">
      <c r="D283" s="195"/>
    </row>
    <row r="284" spans="4:4" ht="14.4" x14ac:dyDescent="0.3">
      <c r="D284" s="195"/>
    </row>
    <row r="285" spans="4:4" ht="14.4" x14ac:dyDescent="0.3">
      <c r="D285" s="195"/>
    </row>
    <row r="286" spans="4:4" ht="14.4" x14ac:dyDescent="0.3">
      <c r="D286" s="195"/>
    </row>
    <row r="287" spans="4:4" ht="14.4" x14ac:dyDescent="0.3">
      <c r="D287" s="195"/>
    </row>
    <row r="288" spans="4:4" ht="14.4" x14ac:dyDescent="0.3">
      <c r="D288" s="195"/>
    </row>
    <row r="289" spans="4:4" ht="14.4" x14ac:dyDescent="0.3">
      <c r="D289" s="195"/>
    </row>
    <row r="290" spans="4:4" ht="14.4" x14ac:dyDescent="0.3">
      <c r="D290" s="195"/>
    </row>
    <row r="291" spans="4:4" ht="14.4" x14ac:dyDescent="0.3">
      <c r="D291" s="195"/>
    </row>
    <row r="292" spans="4:4" ht="14.4" x14ac:dyDescent="0.3">
      <c r="D292" s="195"/>
    </row>
    <row r="293" spans="4:4" ht="14.4" x14ac:dyDescent="0.3">
      <c r="D293" s="195"/>
    </row>
    <row r="294" spans="4:4" ht="14.4" x14ac:dyDescent="0.3">
      <c r="D294" s="195"/>
    </row>
    <row r="295" spans="4:4" ht="14.4" x14ac:dyDescent="0.3">
      <c r="D295" s="195"/>
    </row>
    <row r="296" spans="4:4" ht="14.4" x14ac:dyDescent="0.3">
      <c r="D296" s="195"/>
    </row>
    <row r="297" spans="4:4" ht="14.4" x14ac:dyDescent="0.3">
      <c r="D297" s="195"/>
    </row>
    <row r="298" spans="4:4" ht="14.4" x14ac:dyDescent="0.3">
      <c r="D298" s="195"/>
    </row>
    <row r="299" spans="4:4" ht="14.4" x14ac:dyDescent="0.3">
      <c r="D299" s="195"/>
    </row>
    <row r="300" spans="4:4" ht="14.4" x14ac:dyDescent="0.3">
      <c r="D300" s="195"/>
    </row>
    <row r="301" spans="4:4" ht="14.4" x14ac:dyDescent="0.3">
      <c r="D301" s="195"/>
    </row>
    <row r="302" spans="4:4" ht="14.4" x14ac:dyDescent="0.3">
      <c r="D302" s="195"/>
    </row>
    <row r="303" spans="4:4" ht="14.4" x14ac:dyDescent="0.3">
      <c r="D303" s="195"/>
    </row>
    <row r="304" spans="4:4" ht="14.4" x14ac:dyDescent="0.3">
      <c r="D304" s="195"/>
    </row>
    <row r="305" spans="4:4" ht="14.4" x14ac:dyDescent="0.3">
      <c r="D305" s="195"/>
    </row>
    <row r="306" spans="4:4" ht="14.4" x14ac:dyDescent="0.3">
      <c r="D306" s="195"/>
    </row>
    <row r="307" spans="4:4" ht="14.4" x14ac:dyDescent="0.3">
      <c r="D307" s="195"/>
    </row>
    <row r="308" spans="4:4" ht="14.4" x14ac:dyDescent="0.3">
      <c r="D308" s="195"/>
    </row>
    <row r="309" spans="4:4" ht="14.4" x14ac:dyDescent="0.3">
      <c r="D309" s="195"/>
    </row>
    <row r="310" spans="4:4" ht="14.4" x14ac:dyDescent="0.3">
      <c r="D310" s="195"/>
    </row>
    <row r="311" spans="4:4" ht="14.4" x14ac:dyDescent="0.3">
      <c r="D311" s="195"/>
    </row>
    <row r="312" spans="4:4" ht="14.4" x14ac:dyDescent="0.3">
      <c r="D312" s="195"/>
    </row>
    <row r="313" spans="4:4" ht="14.4" x14ac:dyDescent="0.3">
      <c r="D313" s="195"/>
    </row>
    <row r="314" spans="4:4" ht="14.4" x14ac:dyDescent="0.3">
      <c r="D314" s="195"/>
    </row>
    <row r="315" spans="4:4" ht="14.4" x14ac:dyDescent="0.3">
      <c r="D315" s="195"/>
    </row>
    <row r="316" spans="4:4" ht="14.4" x14ac:dyDescent="0.3">
      <c r="D316" s="195"/>
    </row>
    <row r="317" spans="4:4" ht="14.4" x14ac:dyDescent="0.3">
      <c r="D317" s="195"/>
    </row>
    <row r="318" spans="4:4" ht="14.4" x14ac:dyDescent="0.3">
      <c r="D318" s="195"/>
    </row>
    <row r="319" spans="4:4" ht="14.4" x14ac:dyDescent="0.3">
      <c r="D319" s="195"/>
    </row>
    <row r="320" spans="4:4" ht="14.4" x14ac:dyDescent="0.3">
      <c r="D320" s="195"/>
    </row>
    <row r="321" spans="4:4" ht="14.4" x14ac:dyDescent="0.3">
      <c r="D321" s="195"/>
    </row>
    <row r="322" spans="4:4" ht="14.4" x14ac:dyDescent="0.3">
      <c r="D322" s="195"/>
    </row>
    <row r="323" spans="4:4" ht="14.4" x14ac:dyDescent="0.3">
      <c r="D323" s="195"/>
    </row>
    <row r="324" spans="4:4" ht="14.4" x14ac:dyDescent="0.3">
      <c r="D324" s="195"/>
    </row>
    <row r="325" spans="4:4" ht="14.4" x14ac:dyDescent="0.3">
      <c r="D325" s="195"/>
    </row>
    <row r="326" spans="4:4" ht="14.4" x14ac:dyDescent="0.3">
      <c r="D326" s="195"/>
    </row>
    <row r="327" spans="4:4" ht="14.4" x14ac:dyDescent="0.3">
      <c r="D327" s="195"/>
    </row>
    <row r="328" spans="4:4" ht="14.4" x14ac:dyDescent="0.3">
      <c r="D328" s="195"/>
    </row>
    <row r="329" spans="4:4" ht="14.4" x14ac:dyDescent="0.3">
      <c r="D329" s="195"/>
    </row>
    <row r="330" spans="4:4" ht="14.4" x14ac:dyDescent="0.3">
      <c r="D330" s="195"/>
    </row>
    <row r="331" spans="4:4" ht="14.4" x14ac:dyDescent="0.3">
      <c r="D331" s="195"/>
    </row>
    <row r="332" spans="4:4" ht="14.4" x14ac:dyDescent="0.3">
      <c r="D332" s="195"/>
    </row>
    <row r="333" spans="4:4" ht="14.4" x14ac:dyDescent="0.3">
      <c r="D333" s="195"/>
    </row>
    <row r="334" spans="4:4" ht="14.4" x14ac:dyDescent="0.3">
      <c r="D334" s="195"/>
    </row>
    <row r="335" spans="4:4" ht="14.4" x14ac:dyDescent="0.3">
      <c r="D335" s="195"/>
    </row>
    <row r="336" spans="4:4" ht="14.4" x14ac:dyDescent="0.3">
      <c r="D336" s="195"/>
    </row>
    <row r="337" spans="4:4" ht="14.4" x14ac:dyDescent="0.3">
      <c r="D337" s="195"/>
    </row>
    <row r="338" spans="4:4" ht="14.4" x14ac:dyDescent="0.3">
      <c r="D338" s="195"/>
    </row>
    <row r="339" spans="4:4" ht="14.4" x14ac:dyDescent="0.3">
      <c r="D339" s="195"/>
    </row>
    <row r="340" spans="4:4" ht="14.4" x14ac:dyDescent="0.3">
      <c r="D340" s="195"/>
    </row>
    <row r="341" spans="4:4" ht="14.4" x14ac:dyDescent="0.3">
      <c r="D341" s="195"/>
    </row>
    <row r="342" spans="4:4" ht="14.4" x14ac:dyDescent="0.3">
      <c r="D342" s="195"/>
    </row>
    <row r="343" spans="4:4" ht="14.4" x14ac:dyDescent="0.3">
      <c r="D343" s="195"/>
    </row>
    <row r="344" spans="4:4" ht="14.4" x14ac:dyDescent="0.3">
      <c r="D344" s="195"/>
    </row>
    <row r="345" spans="4:4" ht="14.4" x14ac:dyDescent="0.3">
      <c r="D345" s="195"/>
    </row>
    <row r="346" spans="4:4" ht="14.4" x14ac:dyDescent="0.3">
      <c r="D346" s="195"/>
    </row>
    <row r="347" spans="4:4" ht="14.4" x14ac:dyDescent="0.3">
      <c r="D347" s="195"/>
    </row>
    <row r="348" spans="4:4" ht="14.4" x14ac:dyDescent="0.3">
      <c r="D348" s="195"/>
    </row>
    <row r="349" spans="4:4" ht="14.4" x14ac:dyDescent="0.3">
      <c r="D349" s="195"/>
    </row>
    <row r="350" spans="4:4" ht="14.4" x14ac:dyDescent="0.3">
      <c r="D350" s="195"/>
    </row>
    <row r="351" spans="4:4" ht="14.4" x14ac:dyDescent="0.3">
      <c r="D351" s="195"/>
    </row>
    <row r="352" spans="4:4" ht="14.4" x14ac:dyDescent="0.3">
      <c r="D352" s="195"/>
    </row>
    <row r="353" spans="4:4" ht="14.4" x14ac:dyDescent="0.3">
      <c r="D353" s="195"/>
    </row>
    <row r="354" spans="4:4" ht="14.4" x14ac:dyDescent="0.3">
      <c r="D354" s="195"/>
    </row>
    <row r="355" spans="4:4" ht="14.4" x14ac:dyDescent="0.3">
      <c r="D355" s="195"/>
    </row>
    <row r="356" spans="4:4" ht="14.4" x14ac:dyDescent="0.3">
      <c r="D356" s="195"/>
    </row>
    <row r="357" spans="4:4" ht="14.4" x14ac:dyDescent="0.3">
      <c r="D357" s="195"/>
    </row>
    <row r="358" spans="4:4" ht="14.4" x14ac:dyDescent="0.3">
      <c r="D358" s="195"/>
    </row>
    <row r="359" spans="4:4" ht="14.4" x14ac:dyDescent="0.3">
      <c r="D359" s="195"/>
    </row>
    <row r="360" spans="4:4" ht="14.4" x14ac:dyDescent="0.3">
      <c r="D360" s="195"/>
    </row>
    <row r="361" spans="4:4" ht="14.4" x14ac:dyDescent="0.3">
      <c r="D361" s="195"/>
    </row>
    <row r="362" spans="4:4" ht="14.4" x14ac:dyDescent="0.3">
      <c r="D362" s="195"/>
    </row>
    <row r="363" spans="4:4" ht="14.4" x14ac:dyDescent="0.3">
      <c r="D363" s="195"/>
    </row>
    <row r="364" spans="4:4" ht="14.4" x14ac:dyDescent="0.3">
      <c r="D364" s="195"/>
    </row>
    <row r="365" spans="4:4" ht="14.4" x14ac:dyDescent="0.3">
      <c r="D365" s="195"/>
    </row>
    <row r="366" spans="4:4" ht="14.4" x14ac:dyDescent="0.3">
      <c r="D366" s="195"/>
    </row>
    <row r="367" spans="4:4" ht="14.4" x14ac:dyDescent="0.3">
      <c r="D367" s="195"/>
    </row>
    <row r="368" spans="4:4" ht="14.4" x14ac:dyDescent="0.3">
      <c r="D368" s="195"/>
    </row>
    <row r="369" spans="4:4" ht="14.4" x14ac:dyDescent="0.3">
      <c r="D369" s="195"/>
    </row>
    <row r="370" spans="4:4" ht="14.4" x14ac:dyDescent="0.3">
      <c r="D370" s="195"/>
    </row>
    <row r="371" spans="4:4" ht="14.4" x14ac:dyDescent="0.3">
      <c r="D371" s="195"/>
    </row>
    <row r="372" spans="4:4" ht="14.4" x14ac:dyDescent="0.3">
      <c r="D372" s="195"/>
    </row>
    <row r="373" spans="4:4" ht="14.4" x14ac:dyDescent="0.3">
      <c r="D373" s="195"/>
    </row>
    <row r="374" spans="4:4" ht="14.4" x14ac:dyDescent="0.3">
      <c r="D374" s="195"/>
    </row>
    <row r="375" spans="4:4" ht="14.4" x14ac:dyDescent="0.3">
      <c r="D375" s="195"/>
    </row>
    <row r="376" spans="4:4" ht="14.4" x14ac:dyDescent="0.3">
      <c r="D376" s="195"/>
    </row>
    <row r="377" spans="4:4" ht="14.4" x14ac:dyDescent="0.3">
      <c r="D377" s="195"/>
    </row>
    <row r="378" spans="4:4" ht="14.4" x14ac:dyDescent="0.3">
      <c r="D378" s="195"/>
    </row>
    <row r="379" spans="4:4" ht="14.4" x14ac:dyDescent="0.3">
      <c r="D379" s="195"/>
    </row>
    <row r="380" spans="4:4" ht="14.4" x14ac:dyDescent="0.3">
      <c r="D380" s="195"/>
    </row>
    <row r="381" spans="4:4" ht="14.4" x14ac:dyDescent="0.3">
      <c r="D381" s="195"/>
    </row>
    <row r="382" spans="4:4" ht="14.4" x14ac:dyDescent="0.3">
      <c r="D382" s="195"/>
    </row>
    <row r="383" spans="4:4" ht="14.4" x14ac:dyDescent="0.3">
      <c r="D383" s="195"/>
    </row>
    <row r="384" spans="4:4" ht="14.4" x14ac:dyDescent="0.3">
      <c r="D384" s="195"/>
    </row>
    <row r="385" spans="4:4" ht="14.4" x14ac:dyDescent="0.3">
      <c r="D385" s="195"/>
    </row>
    <row r="386" spans="4:4" ht="14.4" x14ac:dyDescent="0.3">
      <c r="D386" s="195"/>
    </row>
    <row r="387" spans="4:4" ht="14.4" x14ac:dyDescent="0.3">
      <c r="D387" s="195"/>
    </row>
    <row r="388" spans="4:4" ht="14.4" x14ac:dyDescent="0.3">
      <c r="D388" s="195"/>
    </row>
    <row r="389" spans="4:4" ht="14.4" x14ac:dyDescent="0.3">
      <c r="D389" s="195"/>
    </row>
    <row r="390" spans="4:4" ht="14.4" x14ac:dyDescent="0.3">
      <c r="D390" s="195"/>
    </row>
    <row r="391" spans="4:4" ht="14.4" x14ac:dyDescent="0.3">
      <c r="D391" s="195"/>
    </row>
    <row r="392" spans="4:4" ht="14.4" x14ac:dyDescent="0.3">
      <c r="D392" s="195"/>
    </row>
    <row r="393" spans="4:4" ht="14.4" x14ac:dyDescent="0.3">
      <c r="D393" s="195"/>
    </row>
    <row r="394" spans="4:4" ht="14.4" x14ac:dyDescent="0.3">
      <c r="D394" s="195"/>
    </row>
    <row r="395" spans="4:4" ht="14.4" x14ac:dyDescent="0.3">
      <c r="D395" s="195"/>
    </row>
    <row r="396" spans="4:4" ht="14.4" x14ac:dyDescent="0.3">
      <c r="D396" s="195"/>
    </row>
    <row r="397" spans="4:4" ht="14.4" x14ac:dyDescent="0.3">
      <c r="D397" s="195"/>
    </row>
    <row r="398" spans="4:4" ht="14.4" x14ac:dyDescent="0.3">
      <c r="D398" s="195"/>
    </row>
    <row r="399" spans="4:4" ht="14.4" x14ac:dyDescent="0.3">
      <c r="D399" s="195"/>
    </row>
    <row r="400" spans="4:4" ht="14.4" x14ac:dyDescent="0.3">
      <c r="D400" s="195"/>
    </row>
    <row r="401" spans="4:4" ht="14.4" x14ac:dyDescent="0.3">
      <c r="D401" s="195"/>
    </row>
    <row r="402" spans="4:4" ht="14.4" x14ac:dyDescent="0.3">
      <c r="D402" s="195"/>
    </row>
    <row r="403" spans="4:4" ht="14.4" x14ac:dyDescent="0.3">
      <c r="D403" s="195"/>
    </row>
    <row r="404" spans="4:4" ht="14.4" x14ac:dyDescent="0.3">
      <c r="D404" s="195"/>
    </row>
    <row r="405" spans="4:4" ht="14.4" x14ac:dyDescent="0.3">
      <c r="D405" s="195"/>
    </row>
    <row r="406" spans="4:4" ht="14.4" x14ac:dyDescent="0.3">
      <c r="D406" s="195"/>
    </row>
    <row r="407" spans="4:4" ht="14.4" x14ac:dyDescent="0.3">
      <c r="D407" s="195"/>
    </row>
    <row r="408" spans="4:4" ht="14.4" x14ac:dyDescent="0.3">
      <c r="D408" s="195"/>
    </row>
    <row r="409" spans="4:4" ht="14.4" x14ac:dyDescent="0.3">
      <c r="D409" s="195"/>
    </row>
    <row r="410" spans="4:4" ht="14.4" x14ac:dyDescent="0.3">
      <c r="D410" s="195"/>
    </row>
    <row r="411" spans="4:4" ht="14.4" x14ac:dyDescent="0.3">
      <c r="D411" s="195"/>
    </row>
    <row r="412" spans="4:4" ht="14.4" x14ac:dyDescent="0.3">
      <c r="D412" s="195"/>
    </row>
    <row r="413" spans="4:4" ht="14.4" x14ac:dyDescent="0.3">
      <c r="D413" s="195"/>
    </row>
    <row r="414" spans="4:4" ht="14.4" x14ac:dyDescent="0.3">
      <c r="D414" s="195"/>
    </row>
    <row r="415" spans="4:4" ht="14.4" x14ac:dyDescent="0.3">
      <c r="D415" s="195"/>
    </row>
    <row r="416" spans="4:4" ht="14.4" x14ac:dyDescent="0.3">
      <c r="D416" s="195"/>
    </row>
    <row r="417" spans="4:4" ht="14.4" x14ac:dyDescent="0.3">
      <c r="D417" s="195"/>
    </row>
    <row r="418" spans="4:4" ht="14.4" x14ac:dyDescent="0.3">
      <c r="D418" s="195"/>
    </row>
    <row r="419" spans="4:4" ht="14.4" x14ac:dyDescent="0.3">
      <c r="D419" s="195"/>
    </row>
    <row r="420" spans="4:4" ht="14.4" x14ac:dyDescent="0.3">
      <c r="D420" s="195"/>
    </row>
    <row r="421" spans="4:4" ht="14.4" x14ac:dyDescent="0.3">
      <c r="D421" s="195"/>
    </row>
    <row r="422" spans="4:4" ht="14.4" x14ac:dyDescent="0.3">
      <c r="D422" s="195"/>
    </row>
    <row r="423" spans="4:4" ht="14.4" x14ac:dyDescent="0.3">
      <c r="D423" s="195"/>
    </row>
    <row r="424" spans="4:4" ht="14.4" x14ac:dyDescent="0.3">
      <c r="D424" s="195"/>
    </row>
    <row r="425" spans="4:4" ht="14.4" x14ac:dyDescent="0.3">
      <c r="D425" s="195"/>
    </row>
    <row r="426" spans="4:4" ht="14.4" x14ac:dyDescent="0.3">
      <c r="D426" s="195"/>
    </row>
    <row r="427" spans="4:4" ht="14.4" x14ac:dyDescent="0.3">
      <c r="D427" s="195"/>
    </row>
    <row r="428" spans="4:4" ht="14.4" x14ac:dyDescent="0.3">
      <c r="D428" s="195"/>
    </row>
    <row r="429" spans="4:4" ht="14.4" x14ac:dyDescent="0.3">
      <c r="D429" s="195"/>
    </row>
    <row r="430" spans="4:4" ht="14.4" x14ac:dyDescent="0.3">
      <c r="D430" s="195"/>
    </row>
    <row r="431" spans="4:4" ht="14.4" x14ac:dyDescent="0.3">
      <c r="D431" s="195"/>
    </row>
    <row r="432" spans="4:4" ht="14.4" x14ac:dyDescent="0.3">
      <c r="D432" s="195"/>
    </row>
    <row r="433" spans="4:4" ht="14.4" x14ac:dyDescent="0.3">
      <c r="D433" s="195"/>
    </row>
    <row r="434" spans="4:4" ht="14.4" x14ac:dyDescent="0.3">
      <c r="D434" s="195"/>
    </row>
    <row r="435" spans="4:4" ht="14.4" x14ac:dyDescent="0.3">
      <c r="D435" s="195"/>
    </row>
    <row r="436" spans="4:4" ht="14.4" x14ac:dyDescent="0.3">
      <c r="D436" s="195"/>
    </row>
    <row r="437" spans="4:4" ht="14.4" x14ac:dyDescent="0.3">
      <c r="D437" s="195"/>
    </row>
    <row r="438" spans="4:4" ht="14.4" x14ac:dyDescent="0.3">
      <c r="D438" s="195"/>
    </row>
    <row r="439" spans="4:4" ht="14.4" x14ac:dyDescent="0.3">
      <c r="D439" s="195"/>
    </row>
    <row r="440" spans="4:4" ht="14.4" x14ac:dyDescent="0.3">
      <c r="D440" s="195"/>
    </row>
    <row r="441" spans="4:4" ht="14.4" x14ac:dyDescent="0.3">
      <c r="D441" s="195"/>
    </row>
    <row r="442" spans="4:4" ht="14.4" x14ac:dyDescent="0.3">
      <c r="D442" s="195"/>
    </row>
    <row r="443" spans="4:4" ht="14.4" x14ac:dyDescent="0.3">
      <c r="D443" s="195"/>
    </row>
    <row r="444" spans="4:4" ht="14.4" x14ac:dyDescent="0.3">
      <c r="D444" s="195"/>
    </row>
    <row r="445" spans="4:4" ht="14.4" x14ac:dyDescent="0.3">
      <c r="D445" s="195"/>
    </row>
    <row r="446" spans="4:4" ht="14.4" x14ac:dyDescent="0.3">
      <c r="D446" s="195"/>
    </row>
    <row r="447" spans="4:4" ht="14.4" x14ac:dyDescent="0.3">
      <c r="D447" s="195"/>
    </row>
    <row r="448" spans="4:4" ht="14.4" x14ac:dyDescent="0.3">
      <c r="D448" s="195"/>
    </row>
    <row r="449" spans="4:4" ht="14.4" x14ac:dyDescent="0.3">
      <c r="D449" s="195"/>
    </row>
    <row r="450" spans="4:4" ht="14.4" x14ac:dyDescent="0.3">
      <c r="D450" s="195"/>
    </row>
    <row r="451" spans="4:4" ht="14.4" x14ac:dyDescent="0.3">
      <c r="D451" s="195"/>
    </row>
    <row r="452" spans="4:4" ht="14.4" x14ac:dyDescent="0.3">
      <c r="D452" s="195"/>
    </row>
    <row r="453" spans="4:4" ht="14.4" x14ac:dyDescent="0.3">
      <c r="D453" s="195"/>
    </row>
    <row r="454" spans="4:4" ht="14.4" x14ac:dyDescent="0.3">
      <c r="D454" s="195"/>
    </row>
    <row r="455" spans="4:4" ht="14.4" x14ac:dyDescent="0.3">
      <c r="D455" s="195"/>
    </row>
    <row r="456" spans="4:4" ht="14.4" x14ac:dyDescent="0.3">
      <c r="D456" s="195"/>
    </row>
    <row r="457" spans="4:4" ht="14.4" x14ac:dyDescent="0.3">
      <c r="D457" s="195"/>
    </row>
    <row r="458" spans="4:4" ht="14.4" x14ac:dyDescent="0.3">
      <c r="D458" s="195"/>
    </row>
    <row r="459" spans="4:4" ht="14.4" x14ac:dyDescent="0.3">
      <c r="D459" s="195"/>
    </row>
    <row r="460" spans="4:4" ht="14.4" x14ac:dyDescent="0.3">
      <c r="D460" s="195"/>
    </row>
    <row r="461" spans="4:4" ht="14.4" x14ac:dyDescent="0.3">
      <c r="D461" s="195"/>
    </row>
    <row r="462" spans="4:4" ht="14.4" x14ac:dyDescent="0.3">
      <c r="D462" s="195"/>
    </row>
    <row r="463" spans="4:4" ht="14.4" x14ac:dyDescent="0.3">
      <c r="D463" s="195"/>
    </row>
    <row r="464" spans="4:4" ht="14.4" x14ac:dyDescent="0.3">
      <c r="D464" s="195"/>
    </row>
    <row r="465" spans="4:4" ht="14.4" x14ac:dyDescent="0.3">
      <c r="D465" s="195"/>
    </row>
    <row r="466" spans="4:4" ht="14.4" x14ac:dyDescent="0.3">
      <c r="D466" s="195"/>
    </row>
    <row r="467" spans="4:4" ht="14.4" x14ac:dyDescent="0.3">
      <c r="D467" s="195"/>
    </row>
    <row r="468" spans="4:4" ht="14.4" x14ac:dyDescent="0.3">
      <c r="D468" s="195"/>
    </row>
    <row r="469" spans="4:4" ht="14.4" x14ac:dyDescent="0.3">
      <c r="D469" s="195"/>
    </row>
    <row r="470" spans="4:4" ht="14.4" x14ac:dyDescent="0.3">
      <c r="D470" s="195"/>
    </row>
    <row r="471" spans="4:4" ht="14.4" x14ac:dyDescent="0.3">
      <c r="D471" s="195"/>
    </row>
    <row r="472" spans="4:4" ht="14.4" x14ac:dyDescent="0.3">
      <c r="D472" s="195"/>
    </row>
    <row r="473" spans="4:4" ht="14.4" x14ac:dyDescent="0.3">
      <c r="D473" s="195"/>
    </row>
    <row r="474" spans="4:4" ht="14.4" x14ac:dyDescent="0.3">
      <c r="D474" s="195"/>
    </row>
    <row r="475" spans="4:4" ht="14.4" x14ac:dyDescent="0.3">
      <c r="D475" s="195"/>
    </row>
    <row r="476" spans="4:4" ht="14.4" x14ac:dyDescent="0.3">
      <c r="D476" s="195"/>
    </row>
    <row r="477" spans="4:4" ht="14.4" x14ac:dyDescent="0.3">
      <c r="D477" s="195"/>
    </row>
    <row r="478" spans="4:4" ht="14.4" x14ac:dyDescent="0.3">
      <c r="D478" s="195"/>
    </row>
    <row r="479" spans="4:4" ht="14.4" x14ac:dyDescent="0.3">
      <c r="D479" s="195"/>
    </row>
    <row r="480" spans="4:4" ht="14.4" x14ac:dyDescent="0.3">
      <c r="D480" s="195"/>
    </row>
    <row r="481" spans="4:4" ht="14.4" x14ac:dyDescent="0.3">
      <c r="D481" s="195"/>
    </row>
    <row r="482" spans="4:4" ht="14.4" x14ac:dyDescent="0.3">
      <c r="D482" s="195"/>
    </row>
    <row r="483" spans="4:4" ht="14.4" x14ac:dyDescent="0.3">
      <c r="D483" s="195"/>
    </row>
    <row r="484" spans="4:4" ht="14.4" x14ac:dyDescent="0.3">
      <c r="D484" s="195"/>
    </row>
    <row r="485" spans="4:4" ht="14.4" x14ac:dyDescent="0.3">
      <c r="D485" s="195"/>
    </row>
    <row r="486" spans="4:4" ht="14.4" x14ac:dyDescent="0.3">
      <c r="D486" s="195"/>
    </row>
    <row r="487" spans="4:4" ht="14.4" x14ac:dyDescent="0.3">
      <c r="D487" s="195"/>
    </row>
    <row r="488" spans="4:4" ht="14.4" x14ac:dyDescent="0.3">
      <c r="D488" s="195"/>
    </row>
    <row r="489" spans="4:4" ht="14.4" x14ac:dyDescent="0.3">
      <c r="D489" s="195"/>
    </row>
    <row r="490" spans="4:4" ht="14.4" x14ac:dyDescent="0.3">
      <c r="D490" s="195"/>
    </row>
    <row r="491" spans="4:4" ht="14.4" x14ac:dyDescent="0.3">
      <c r="D491" s="195"/>
    </row>
    <row r="492" spans="4:4" ht="14.4" x14ac:dyDescent="0.3">
      <c r="D492" s="195"/>
    </row>
    <row r="493" spans="4:4" ht="14.4" x14ac:dyDescent="0.3">
      <c r="D493" s="195"/>
    </row>
    <row r="494" spans="4:4" ht="14.4" x14ac:dyDescent="0.3">
      <c r="D494" s="195"/>
    </row>
    <row r="495" spans="4:4" ht="14.4" x14ac:dyDescent="0.3">
      <c r="D495" s="195"/>
    </row>
    <row r="496" spans="4:4" ht="14.4" x14ac:dyDescent="0.3">
      <c r="D496" s="195"/>
    </row>
    <row r="497" spans="4:4" ht="14.4" x14ac:dyDescent="0.3">
      <c r="D497" s="195"/>
    </row>
    <row r="498" spans="4:4" ht="14.4" x14ac:dyDescent="0.3">
      <c r="D498" s="195"/>
    </row>
    <row r="499" spans="4:4" ht="14.4" x14ac:dyDescent="0.3">
      <c r="D499" s="195"/>
    </row>
    <row r="500" spans="4:4" ht="14.4" x14ac:dyDescent="0.3">
      <c r="D500" s="195"/>
    </row>
    <row r="501" spans="4:4" ht="14.4" x14ac:dyDescent="0.3">
      <c r="D501" s="195"/>
    </row>
    <row r="502" spans="4:4" ht="14.4" x14ac:dyDescent="0.3">
      <c r="D502" s="195"/>
    </row>
    <row r="503" spans="4:4" ht="14.4" x14ac:dyDescent="0.3">
      <c r="D503" s="195"/>
    </row>
    <row r="504" spans="4:4" ht="14.4" x14ac:dyDescent="0.3">
      <c r="D504" s="195"/>
    </row>
    <row r="505" spans="4:4" ht="14.4" x14ac:dyDescent="0.3">
      <c r="D505" s="195"/>
    </row>
    <row r="506" spans="4:4" ht="14.4" x14ac:dyDescent="0.3">
      <c r="D506" s="195"/>
    </row>
    <row r="507" spans="4:4" ht="14.4" x14ac:dyDescent="0.3">
      <c r="D507" s="195"/>
    </row>
    <row r="508" spans="4:4" ht="14.4" x14ac:dyDescent="0.3">
      <c r="D508" s="195"/>
    </row>
    <row r="509" spans="4:4" ht="14.4" x14ac:dyDescent="0.3">
      <c r="D509" s="195"/>
    </row>
    <row r="510" spans="4:4" ht="14.4" x14ac:dyDescent="0.3">
      <c r="D510" s="195"/>
    </row>
    <row r="511" spans="4:4" ht="14.4" x14ac:dyDescent="0.3">
      <c r="D511" s="195"/>
    </row>
    <row r="512" spans="4:4" ht="14.4" x14ac:dyDescent="0.3">
      <c r="D512" s="195"/>
    </row>
    <row r="513" spans="4:4" ht="14.4" x14ac:dyDescent="0.3">
      <c r="D513" s="195"/>
    </row>
    <row r="514" spans="4:4" ht="14.4" x14ac:dyDescent="0.3">
      <c r="D514" s="195"/>
    </row>
    <row r="515" spans="4:4" ht="14.4" x14ac:dyDescent="0.3">
      <c r="D515" s="195"/>
    </row>
    <row r="516" spans="4:4" ht="14.4" x14ac:dyDescent="0.3">
      <c r="D516" s="195"/>
    </row>
    <row r="517" spans="4:4" ht="14.4" x14ac:dyDescent="0.3">
      <c r="D517" s="195"/>
    </row>
    <row r="518" spans="4:4" ht="14.4" x14ac:dyDescent="0.3">
      <c r="D518" s="195"/>
    </row>
    <row r="519" spans="4:4" ht="14.4" x14ac:dyDescent="0.3">
      <c r="D519" s="195"/>
    </row>
    <row r="520" spans="4:4" ht="14.4" x14ac:dyDescent="0.3">
      <c r="D520" s="195"/>
    </row>
    <row r="521" spans="4:4" ht="14.4" x14ac:dyDescent="0.3">
      <c r="D521" s="195"/>
    </row>
    <row r="522" spans="4:4" ht="14.4" x14ac:dyDescent="0.3">
      <c r="D522" s="195"/>
    </row>
    <row r="523" spans="4:4" ht="14.4" x14ac:dyDescent="0.3">
      <c r="D523" s="195"/>
    </row>
    <row r="524" spans="4:4" ht="14.4" x14ac:dyDescent="0.3">
      <c r="D524" s="195"/>
    </row>
    <row r="525" spans="4:4" ht="14.4" x14ac:dyDescent="0.3">
      <c r="D525" s="195"/>
    </row>
    <row r="526" spans="4:4" ht="14.4" x14ac:dyDescent="0.3">
      <c r="D526" s="195"/>
    </row>
    <row r="527" spans="4:4" ht="14.4" x14ac:dyDescent="0.3">
      <c r="D527" s="195"/>
    </row>
    <row r="528" spans="4:4" ht="14.4" x14ac:dyDescent="0.3">
      <c r="D528" s="195"/>
    </row>
    <row r="529" spans="4:4" ht="14.4" x14ac:dyDescent="0.3">
      <c r="D529" s="195"/>
    </row>
    <row r="530" spans="4:4" ht="14.4" x14ac:dyDescent="0.3">
      <c r="D530" s="195"/>
    </row>
    <row r="531" spans="4:4" ht="14.4" x14ac:dyDescent="0.3">
      <c r="D531" s="195"/>
    </row>
    <row r="532" spans="4:4" ht="14.4" x14ac:dyDescent="0.3">
      <c r="D532" s="195"/>
    </row>
    <row r="533" spans="4:4" ht="14.4" x14ac:dyDescent="0.3">
      <c r="D533" s="195"/>
    </row>
    <row r="534" spans="4:4" ht="14.4" x14ac:dyDescent="0.3">
      <c r="D534" s="195"/>
    </row>
    <row r="535" spans="4:4" ht="14.4" x14ac:dyDescent="0.3">
      <c r="D535" s="195"/>
    </row>
    <row r="536" spans="4:4" ht="14.4" x14ac:dyDescent="0.3">
      <c r="D536" s="195"/>
    </row>
    <row r="537" spans="4:4" ht="14.4" x14ac:dyDescent="0.3">
      <c r="D537" s="195"/>
    </row>
    <row r="538" spans="4:4" ht="14.4" x14ac:dyDescent="0.3">
      <c r="D538" s="195"/>
    </row>
    <row r="539" spans="4:4" ht="14.4" x14ac:dyDescent="0.3">
      <c r="D539" s="195"/>
    </row>
    <row r="540" spans="4:4" ht="14.4" x14ac:dyDescent="0.3">
      <c r="D540" s="195"/>
    </row>
    <row r="541" spans="4:4" ht="14.4" x14ac:dyDescent="0.3">
      <c r="D541" s="195"/>
    </row>
    <row r="542" spans="4:4" ht="14.4" x14ac:dyDescent="0.3">
      <c r="D542" s="195"/>
    </row>
    <row r="543" spans="4:4" ht="14.4" x14ac:dyDescent="0.3">
      <c r="D543" s="195"/>
    </row>
    <row r="544" spans="4:4" ht="14.4" x14ac:dyDescent="0.3">
      <c r="D544" s="195"/>
    </row>
    <row r="545" spans="4:4" ht="14.4" x14ac:dyDescent="0.3">
      <c r="D545" s="195"/>
    </row>
    <row r="546" spans="4:4" ht="14.4" x14ac:dyDescent="0.3">
      <c r="D546" s="195"/>
    </row>
    <row r="547" spans="4:4" ht="14.4" x14ac:dyDescent="0.3">
      <c r="D547" s="195"/>
    </row>
    <row r="548" spans="4:4" ht="14.4" x14ac:dyDescent="0.3">
      <c r="D548" s="195"/>
    </row>
    <row r="549" spans="4:4" ht="14.4" x14ac:dyDescent="0.3">
      <c r="D549" s="195"/>
    </row>
    <row r="550" spans="4:4" ht="14.4" x14ac:dyDescent="0.3">
      <c r="D550" s="195"/>
    </row>
    <row r="551" spans="4:4" ht="14.4" x14ac:dyDescent="0.3">
      <c r="D551" s="195"/>
    </row>
    <row r="552" spans="4:4" ht="14.4" x14ac:dyDescent="0.3">
      <c r="D552" s="195"/>
    </row>
    <row r="553" spans="4:4" ht="14.4" x14ac:dyDescent="0.3">
      <c r="D553" s="195"/>
    </row>
    <row r="554" spans="4:4" ht="14.4" x14ac:dyDescent="0.3">
      <c r="D554" s="195"/>
    </row>
    <row r="555" spans="4:4" ht="14.4" x14ac:dyDescent="0.3">
      <c r="D555" s="195"/>
    </row>
    <row r="556" spans="4:4" ht="14.4" x14ac:dyDescent="0.3">
      <c r="D556" s="195"/>
    </row>
    <row r="557" spans="4:4" ht="14.4" x14ac:dyDescent="0.3">
      <c r="D557" s="195"/>
    </row>
    <row r="558" spans="4:4" ht="14.4" x14ac:dyDescent="0.3">
      <c r="D558" s="195"/>
    </row>
    <row r="559" spans="4:4" ht="14.4" x14ac:dyDescent="0.3">
      <c r="D559" s="195"/>
    </row>
    <row r="560" spans="4:4" ht="14.4" x14ac:dyDescent="0.3">
      <c r="D560" s="195"/>
    </row>
    <row r="561" spans="4:4" ht="14.4" x14ac:dyDescent="0.3">
      <c r="D561" s="195"/>
    </row>
    <row r="562" spans="4:4" ht="14.4" x14ac:dyDescent="0.3">
      <c r="D562" s="195"/>
    </row>
    <row r="563" spans="4:4" ht="14.4" x14ac:dyDescent="0.3">
      <c r="D563" s="195"/>
    </row>
    <row r="564" spans="4:4" ht="14.4" x14ac:dyDescent="0.3">
      <c r="D564" s="195"/>
    </row>
    <row r="565" spans="4:4" ht="14.4" x14ac:dyDescent="0.3">
      <c r="D565" s="195"/>
    </row>
    <row r="566" spans="4:4" ht="14.4" x14ac:dyDescent="0.3">
      <c r="D566" s="195"/>
    </row>
    <row r="567" spans="4:4" ht="14.4" x14ac:dyDescent="0.3">
      <c r="D567" s="195"/>
    </row>
    <row r="568" spans="4:4" ht="14.4" x14ac:dyDescent="0.3">
      <c r="D568" s="195"/>
    </row>
    <row r="569" spans="4:4" ht="14.4" x14ac:dyDescent="0.3">
      <c r="D569" s="195"/>
    </row>
    <row r="570" spans="4:4" ht="14.4" x14ac:dyDescent="0.3">
      <c r="D570" s="195"/>
    </row>
    <row r="571" spans="4:4" ht="14.4" x14ac:dyDescent="0.3">
      <c r="D571" s="195"/>
    </row>
    <row r="572" spans="4:4" ht="14.4" x14ac:dyDescent="0.3">
      <c r="D572" s="195"/>
    </row>
    <row r="573" spans="4:4" ht="14.4" x14ac:dyDescent="0.3">
      <c r="D573" s="195"/>
    </row>
    <row r="574" spans="4:4" ht="14.4" x14ac:dyDescent="0.3">
      <c r="D574" s="195"/>
    </row>
    <row r="575" spans="4:4" ht="14.4" x14ac:dyDescent="0.3">
      <c r="D575" s="195"/>
    </row>
    <row r="576" spans="4:4" ht="14.4" x14ac:dyDescent="0.3">
      <c r="D576" s="195"/>
    </row>
    <row r="577" spans="4:4" ht="14.4" x14ac:dyDescent="0.3">
      <c r="D577" s="195"/>
    </row>
    <row r="578" spans="4:4" ht="14.4" x14ac:dyDescent="0.3">
      <c r="D578" s="195"/>
    </row>
    <row r="579" spans="4:4" ht="14.4" x14ac:dyDescent="0.3">
      <c r="D579" s="195"/>
    </row>
    <row r="580" spans="4:4" ht="14.4" x14ac:dyDescent="0.3">
      <c r="D580" s="195"/>
    </row>
    <row r="581" spans="4:4" ht="14.4" x14ac:dyDescent="0.3">
      <c r="D581" s="195"/>
    </row>
    <row r="582" spans="4:4" ht="14.4" x14ac:dyDescent="0.3">
      <c r="D582" s="195"/>
    </row>
    <row r="583" spans="4:4" ht="14.4" x14ac:dyDescent="0.3">
      <c r="D583" s="195"/>
    </row>
    <row r="584" spans="4:4" ht="14.4" x14ac:dyDescent="0.3">
      <c r="D584" s="195"/>
    </row>
    <row r="585" spans="4:4" ht="14.4" x14ac:dyDescent="0.3">
      <c r="D585" s="195"/>
    </row>
    <row r="586" spans="4:4" ht="14.4" x14ac:dyDescent="0.3">
      <c r="D586" s="195"/>
    </row>
    <row r="587" spans="4:4" ht="14.4" x14ac:dyDescent="0.3">
      <c r="D587" s="195"/>
    </row>
    <row r="588" spans="4:4" ht="14.4" x14ac:dyDescent="0.3">
      <c r="D588" s="195"/>
    </row>
    <row r="589" spans="4:4" ht="14.4" x14ac:dyDescent="0.3">
      <c r="D589" s="195"/>
    </row>
    <row r="590" spans="4:4" ht="14.4" x14ac:dyDescent="0.3">
      <c r="D590" s="195"/>
    </row>
    <row r="591" spans="4:4" ht="14.4" x14ac:dyDescent="0.3">
      <c r="D591" s="195"/>
    </row>
    <row r="592" spans="4:4" ht="14.4" x14ac:dyDescent="0.3">
      <c r="D592" s="195"/>
    </row>
    <row r="593" spans="4:4" ht="14.4" x14ac:dyDescent="0.3">
      <c r="D593" s="195"/>
    </row>
    <row r="594" spans="4:4" ht="14.4" x14ac:dyDescent="0.3">
      <c r="D594" s="195"/>
    </row>
    <row r="595" spans="4:4" ht="14.4" x14ac:dyDescent="0.3">
      <c r="D595" s="195"/>
    </row>
    <row r="596" spans="4:4" ht="14.4" x14ac:dyDescent="0.3">
      <c r="D596" s="195"/>
    </row>
    <row r="597" spans="4:4" ht="14.4" x14ac:dyDescent="0.3">
      <c r="D597" s="195"/>
    </row>
    <row r="598" spans="4:4" ht="14.4" x14ac:dyDescent="0.3">
      <c r="D598" s="195"/>
    </row>
    <row r="599" spans="4:4" ht="14.4" x14ac:dyDescent="0.3">
      <c r="D599" s="195"/>
    </row>
    <row r="600" spans="4:4" ht="14.4" x14ac:dyDescent="0.3">
      <c r="D600" s="195"/>
    </row>
    <row r="601" spans="4:4" ht="14.4" x14ac:dyDescent="0.3">
      <c r="D601" s="195"/>
    </row>
    <row r="602" spans="4:4" ht="14.4" x14ac:dyDescent="0.3">
      <c r="D602" s="195"/>
    </row>
    <row r="603" spans="4:4" ht="14.4" x14ac:dyDescent="0.3">
      <c r="D603" s="195"/>
    </row>
    <row r="604" spans="4:4" ht="14.4" x14ac:dyDescent="0.3">
      <c r="D604" s="195"/>
    </row>
    <row r="605" spans="4:4" ht="14.4" x14ac:dyDescent="0.3">
      <c r="D605" s="195"/>
    </row>
    <row r="606" spans="4:4" ht="14.4" x14ac:dyDescent="0.3">
      <c r="D606" s="195"/>
    </row>
    <row r="607" spans="4:4" ht="14.4" x14ac:dyDescent="0.3">
      <c r="D607" s="195"/>
    </row>
    <row r="608" spans="4:4" ht="14.4" x14ac:dyDescent="0.3">
      <c r="D608" s="195"/>
    </row>
    <row r="609" spans="4:4" ht="14.4" x14ac:dyDescent="0.3">
      <c r="D609" s="195"/>
    </row>
    <row r="610" spans="4:4" ht="14.4" x14ac:dyDescent="0.3">
      <c r="D610" s="195"/>
    </row>
    <row r="611" spans="4:4" ht="14.4" x14ac:dyDescent="0.3">
      <c r="D611" s="195"/>
    </row>
    <row r="612" spans="4:4" ht="14.4" x14ac:dyDescent="0.3">
      <c r="D612" s="195"/>
    </row>
    <row r="613" spans="4:4" ht="14.4" x14ac:dyDescent="0.3">
      <c r="D613" s="195"/>
    </row>
    <row r="614" spans="4:4" ht="14.4" x14ac:dyDescent="0.3">
      <c r="D614" s="195"/>
    </row>
    <row r="615" spans="4:4" ht="14.4" x14ac:dyDescent="0.3">
      <c r="D615" s="195"/>
    </row>
    <row r="616" spans="4:4" ht="14.4" x14ac:dyDescent="0.3">
      <c r="D616" s="195"/>
    </row>
    <row r="617" spans="4:4" ht="14.4" x14ac:dyDescent="0.3">
      <c r="D617" s="195"/>
    </row>
    <row r="618" spans="4:4" ht="14.4" x14ac:dyDescent="0.3">
      <c r="D618" s="195"/>
    </row>
    <row r="619" spans="4:4" ht="14.4" x14ac:dyDescent="0.3">
      <c r="D619" s="195"/>
    </row>
    <row r="620" spans="4:4" ht="14.4" x14ac:dyDescent="0.3">
      <c r="D620" s="195"/>
    </row>
    <row r="621" spans="4:4" ht="14.4" x14ac:dyDescent="0.3">
      <c r="D621" s="195"/>
    </row>
    <row r="622" spans="4:4" ht="14.4" x14ac:dyDescent="0.3">
      <c r="D622" s="195"/>
    </row>
    <row r="623" spans="4:4" ht="14.4" x14ac:dyDescent="0.3">
      <c r="D623" s="195"/>
    </row>
    <row r="624" spans="4:4" ht="14.4" x14ac:dyDescent="0.3">
      <c r="D624" s="195"/>
    </row>
    <row r="625" spans="4:4" ht="14.4" x14ac:dyDescent="0.3">
      <c r="D625" s="195"/>
    </row>
    <row r="626" spans="4:4" ht="14.4" x14ac:dyDescent="0.3">
      <c r="D626" s="195"/>
    </row>
    <row r="627" spans="4:4" ht="14.4" x14ac:dyDescent="0.3">
      <c r="D627" s="195"/>
    </row>
    <row r="628" spans="4:4" ht="14.4" x14ac:dyDescent="0.3">
      <c r="D628" s="195"/>
    </row>
    <row r="629" spans="4:4" ht="14.4" x14ac:dyDescent="0.3">
      <c r="D629" s="195"/>
    </row>
    <row r="630" spans="4:4" ht="14.4" x14ac:dyDescent="0.3">
      <c r="D630" s="195"/>
    </row>
    <row r="631" spans="4:4" ht="14.4" x14ac:dyDescent="0.3">
      <c r="D631" s="195"/>
    </row>
    <row r="632" spans="4:4" ht="14.4" x14ac:dyDescent="0.3">
      <c r="D632" s="195"/>
    </row>
    <row r="633" spans="4:4" ht="14.4" x14ac:dyDescent="0.3">
      <c r="D633" s="195"/>
    </row>
    <row r="634" spans="4:4" ht="14.4" x14ac:dyDescent="0.3">
      <c r="D634" s="195"/>
    </row>
    <row r="635" spans="4:4" ht="14.4" x14ac:dyDescent="0.3">
      <c r="D635" s="195"/>
    </row>
    <row r="636" spans="4:4" ht="14.4" x14ac:dyDescent="0.3">
      <c r="D636" s="195"/>
    </row>
    <row r="637" spans="4:4" ht="14.4" x14ac:dyDescent="0.3">
      <c r="D637" s="195"/>
    </row>
    <row r="638" spans="4:4" ht="14.4" x14ac:dyDescent="0.3">
      <c r="D638" s="195"/>
    </row>
    <row r="639" spans="4:4" ht="14.4" x14ac:dyDescent="0.3">
      <c r="D639" s="195"/>
    </row>
    <row r="640" spans="4:4" ht="14.4" x14ac:dyDescent="0.3">
      <c r="D640" s="195"/>
    </row>
    <row r="641" spans="4:4" ht="14.4" x14ac:dyDescent="0.3">
      <c r="D641" s="195"/>
    </row>
    <row r="642" spans="4:4" ht="14.4" x14ac:dyDescent="0.3">
      <c r="D642" s="195"/>
    </row>
    <row r="643" spans="4:4" ht="14.4" x14ac:dyDescent="0.3">
      <c r="D643" s="195"/>
    </row>
    <row r="644" spans="4:4" ht="14.4" x14ac:dyDescent="0.3">
      <c r="D644" s="195"/>
    </row>
    <row r="645" spans="4:4" ht="14.4" x14ac:dyDescent="0.3">
      <c r="D645" s="195"/>
    </row>
    <row r="646" spans="4:4" ht="14.4" x14ac:dyDescent="0.3">
      <c r="D646" s="195"/>
    </row>
    <row r="647" spans="4:4" ht="14.4" x14ac:dyDescent="0.3">
      <c r="D647" s="195"/>
    </row>
    <row r="648" spans="4:4" ht="14.4" x14ac:dyDescent="0.3">
      <c r="D648" s="195"/>
    </row>
    <row r="649" spans="4:4" ht="14.4" x14ac:dyDescent="0.3">
      <c r="D649" s="195"/>
    </row>
    <row r="650" spans="4:4" ht="14.4" x14ac:dyDescent="0.3">
      <c r="D650" s="195"/>
    </row>
    <row r="651" spans="4:4" ht="14.4" x14ac:dyDescent="0.3">
      <c r="D651" s="195"/>
    </row>
    <row r="652" spans="4:4" ht="14.4" x14ac:dyDescent="0.3">
      <c r="D652" s="195"/>
    </row>
    <row r="653" spans="4:4" ht="14.4" x14ac:dyDescent="0.3">
      <c r="D653" s="195"/>
    </row>
    <row r="654" spans="4:4" ht="14.4" x14ac:dyDescent="0.3">
      <c r="D654" s="195"/>
    </row>
    <row r="655" spans="4:4" ht="14.4" x14ac:dyDescent="0.3">
      <c r="D655" s="195"/>
    </row>
    <row r="656" spans="4:4" ht="14.4" x14ac:dyDescent="0.3">
      <c r="D656" s="195"/>
    </row>
    <row r="657" spans="4:4" ht="14.4" x14ac:dyDescent="0.3">
      <c r="D657" s="195"/>
    </row>
    <row r="658" spans="4:4" ht="14.4" x14ac:dyDescent="0.3">
      <c r="D658" s="195"/>
    </row>
    <row r="659" spans="4:4" ht="14.4" x14ac:dyDescent="0.3">
      <c r="D659" s="195"/>
    </row>
    <row r="660" spans="4:4" ht="14.4" x14ac:dyDescent="0.3">
      <c r="D660" s="195"/>
    </row>
    <row r="661" spans="4:4" ht="14.4" x14ac:dyDescent="0.3">
      <c r="D661" s="195"/>
    </row>
    <row r="662" spans="4:4" ht="14.4" x14ac:dyDescent="0.3">
      <c r="D662" s="195"/>
    </row>
    <row r="663" spans="4:4" ht="14.4" x14ac:dyDescent="0.3">
      <c r="D663" s="195"/>
    </row>
    <row r="664" spans="4:4" ht="14.4" x14ac:dyDescent="0.3">
      <c r="D664" s="195"/>
    </row>
    <row r="665" spans="4:4" ht="14.4" x14ac:dyDescent="0.3">
      <c r="D665" s="195"/>
    </row>
    <row r="666" spans="4:4" ht="14.4" x14ac:dyDescent="0.3">
      <c r="D666" s="195"/>
    </row>
    <row r="667" spans="4:4" ht="14.4" x14ac:dyDescent="0.3">
      <c r="D667" s="195"/>
    </row>
    <row r="668" spans="4:4" ht="14.4" x14ac:dyDescent="0.3">
      <c r="D668" s="195"/>
    </row>
    <row r="669" spans="4:4" ht="14.4" x14ac:dyDescent="0.3">
      <c r="D669" s="195"/>
    </row>
    <row r="670" spans="4:4" ht="14.4" x14ac:dyDescent="0.3">
      <c r="D670" s="195"/>
    </row>
    <row r="671" spans="4:4" ht="14.4" x14ac:dyDescent="0.3">
      <c r="D671" s="195"/>
    </row>
    <row r="672" spans="4:4" ht="14.4" x14ac:dyDescent="0.3">
      <c r="D672" s="195"/>
    </row>
    <row r="673" spans="2:4" ht="14.4" x14ac:dyDescent="0.3">
      <c r="D673" s="195"/>
    </row>
    <row r="674" spans="2:4" ht="14.4" x14ac:dyDescent="0.3">
      <c r="D674" s="195"/>
    </row>
    <row r="675" spans="2:4" ht="14.4" x14ac:dyDescent="0.3">
      <c r="D675" s="195"/>
    </row>
    <row r="676" spans="2:4" ht="14.4" x14ac:dyDescent="0.3">
      <c r="D676" s="195"/>
    </row>
    <row r="677" spans="2:4" ht="14.4" x14ac:dyDescent="0.3">
      <c r="D677" s="195"/>
    </row>
    <row r="678" spans="2:4" ht="14.4" x14ac:dyDescent="0.3">
      <c r="D678" s="195"/>
    </row>
    <row r="679" spans="2:4" ht="14.4" x14ac:dyDescent="0.3">
      <c r="D679" s="195"/>
    </row>
    <row r="680" spans="2:4" ht="14.4" x14ac:dyDescent="0.3">
      <c r="D680" s="195"/>
    </row>
    <row r="681" spans="2:4" ht="14.4" x14ac:dyDescent="0.3">
      <c r="D681" s="195"/>
    </row>
    <row r="682" spans="2:4" ht="14.4" x14ac:dyDescent="0.3">
      <c r="D682" s="195"/>
    </row>
    <row r="683" spans="2:4" ht="14.4" x14ac:dyDescent="0.3">
      <c r="D683" s="195"/>
    </row>
    <row r="684" spans="2:4" ht="14.4" x14ac:dyDescent="0.3">
      <c r="D684" s="195"/>
    </row>
    <row r="685" spans="2:4" ht="14.4" x14ac:dyDescent="0.3">
      <c r="D685" s="195"/>
    </row>
    <row r="686" spans="2:4" ht="14.4" x14ac:dyDescent="0.3">
      <c r="D686" s="195"/>
    </row>
    <row r="687" spans="2:4" ht="14.4" x14ac:dyDescent="0.3">
      <c r="D687" s="195"/>
    </row>
    <row r="688" spans="2:4" ht="14.4" x14ac:dyDescent="0.3">
      <c r="B688" s="191" t="s">
        <v>49</v>
      </c>
      <c r="C688" s="191" t="s">
        <v>49</v>
      </c>
      <c r="D688" s="195" t="s">
        <v>49</v>
      </c>
    </row>
  </sheetData>
  <autoFilter ref="B2:D688" xr:uid="{BF9EA0AA-9DF0-46E9-AD86-60FB23CC4836}"/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D599F-E99A-41FD-8688-3C44C5471B87}">
  <sheetPr>
    <pageSetUpPr fitToPage="1"/>
  </sheetPr>
  <dimension ref="A2:IT71"/>
  <sheetViews>
    <sheetView showGridLines="0" zoomScaleNormal="100" workbookViewId="0">
      <pane xSplit="3" ySplit="7" topLeftCell="D24" activePane="bottomRight" state="frozen"/>
      <selection pane="topRight" activeCell="D1" sqref="D1"/>
      <selection pane="bottomLeft" activeCell="A8" sqref="A8"/>
      <selection pane="bottomRight" activeCell="C4" sqref="C4"/>
    </sheetView>
  </sheetViews>
  <sheetFormatPr baseColWidth="10" defaultColWidth="11.44140625" defaultRowHeight="13.2" x14ac:dyDescent="0.25"/>
  <cols>
    <col min="1" max="1" width="3.44140625" customWidth="1"/>
    <col min="2" max="2" width="9.88671875" customWidth="1"/>
    <col min="3" max="3" width="27.5546875" customWidth="1"/>
    <col min="4" max="4" width="18.44140625" customWidth="1"/>
    <col min="5" max="5" width="15.88671875" customWidth="1"/>
    <col min="6" max="6" width="16.109375" customWidth="1"/>
    <col min="7" max="7" width="15.44140625" customWidth="1"/>
    <col min="8" max="8" width="12.109375" bestFit="1" customWidth="1"/>
    <col min="9" max="9" width="14.44140625" customWidth="1"/>
    <col min="10" max="10" width="13.44140625" customWidth="1"/>
    <col min="11" max="12" width="14.5546875" customWidth="1"/>
    <col min="13" max="17" width="13.109375" bestFit="1" customWidth="1"/>
    <col min="18" max="18" width="9.44140625" bestFit="1" customWidth="1"/>
  </cols>
  <sheetData>
    <row r="2" spans="1:254" ht="13.5" customHeight="1" x14ac:dyDescent="0.25">
      <c r="B2" s="56" t="s">
        <v>34</v>
      </c>
      <c r="C2" s="4">
        <f>Títulos!B2</f>
        <v>0</v>
      </c>
      <c r="D2" s="458" t="e">
        <f>+#REF!</f>
        <v>#REF!</v>
      </c>
      <c r="E2" s="458"/>
      <c r="F2" s="458"/>
      <c r="G2" s="458"/>
      <c r="H2" s="458"/>
      <c r="I2" s="458"/>
      <c r="J2" s="458"/>
      <c r="K2" s="458"/>
      <c r="L2" s="458"/>
      <c r="M2" s="458"/>
      <c r="N2" s="458"/>
    </row>
    <row r="3" spans="1:254" ht="13.5" customHeight="1" x14ac:dyDescent="0.25">
      <c r="B3" s="56" t="s">
        <v>50</v>
      </c>
      <c r="C3" s="172">
        <f>Títulos!F2</f>
        <v>0</v>
      </c>
      <c r="D3" s="459" t="e">
        <f>+#REF!</f>
        <v>#REF!</v>
      </c>
      <c r="E3" s="459"/>
      <c r="F3" s="459"/>
      <c r="G3" s="459"/>
      <c r="H3" s="459"/>
      <c r="I3" s="459"/>
      <c r="J3" s="459"/>
      <c r="K3" s="459"/>
      <c r="L3" s="459"/>
      <c r="M3" s="459"/>
      <c r="N3" s="459"/>
    </row>
    <row r="4" spans="1:254" ht="13.8" x14ac:dyDescent="0.25">
      <c r="B4" s="56" t="s">
        <v>51</v>
      </c>
      <c r="C4" s="172">
        <f>Títulos!B4</f>
        <v>46022</v>
      </c>
      <c r="D4" s="460" t="e">
        <f>+#REF!</f>
        <v>#REF!</v>
      </c>
      <c r="E4" s="460"/>
      <c r="F4" s="460"/>
      <c r="G4" s="460"/>
      <c r="H4" s="460"/>
      <c r="I4" s="460"/>
      <c r="J4" s="460"/>
      <c r="K4" s="460"/>
      <c r="L4" s="460"/>
      <c r="M4" s="460"/>
      <c r="N4" s="460"/>
      <c r="O4" s="78"/>
      <c r="P4" s="78"/>
    </row>
    <row r="5" spans="1:254" ht="14.4" thickBot="1" x14ac:dyDescent="0.3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</row>
    <row r="6" spans="1:254" s="25" customFormat="1" ht="16.2" thickBot="1" x14ac:dyDescent="0.35">
      <c r="B6" s="461" t="s">
        <v>52</v>
      </c>
      <c r="C6" s="462"/>
      <c r="D6" s="462"/>
      <c r="E6" s="462"/>
      <c r="F6" s="462"/>
      <c r="G6" s="462"/>
      <c r="H6" s="462"/>
      <c r="I6" s="462"/>
      <c r="J6" s="462"/>
      <c r="K6" s="462"/>
      <c r="L6" s="462"/>
      <c r="M6" s="462"/>
      <c r="N6" s="462"/>
      <c r="O6" s="462"/>
      <c r="P6" s="463"/>
      <c r="Q6" s="66" t="s">
        <v>53</v>
      </c>
      <c r="R6" s="66" t="s">
        <v>54</v>
      </c>
    </row>
    <row r="7" spans="1:254" s="26" customFormat="1" ht="12.9" customHeight="1" thickBot="1" x14ac:dyDescent="0.3">
      <c r="B7" s="467" t="s">
        <v>55</v>
      </c>
      <c r="C7" s="468"/>
      <c r="D7" s="237">
        <f t="shared" ref="D7:M7" si="0">EOMONTH(E7,-1)</f>
        <v>45688</v>
      </c>
      <c r="E7" s="237">
        <f t="shared" si="0"/>
        <v>45716</v>
      </c>
      <c r="F7" s="237">
        <f t="shared" si="0"/>
        <v>45747</v>
      </c>
      <c r="G7" s="237">
        <f t="shared" si="0"/>
        <v>45777</v>
      </c>
      <c r="H7" s="237">
        <f t="shared" si="0"/>
        <v>45808</v>
      </c>
      <c r="I7" s="237">
        <f t="shared" si="0"/>
        <v>45838</v>
      </c>
      <c r="J7" s="237">
        <f t="shared" si="0"/>
        <v>45869</v>
      </c>
      <c r="K7" s="237">
        <f t="shared" si="0"/>
        <v>45900</v>
      </c>
      <c r="L7" s="237">
        <f t="shared" si="0"/>
        <v>45930</v>
      </c>
      <c r="M7" s="237">
        <f t="shared" si="0"/>
        <v>45961</v>
      </c>
      <c r="N7" s="237">
        <f>EOMONTH(O7,-1)</f>
        <v>45991</v>
      </c>
      <c r="O7" s="237">
        <f>Títulos!B4</f>
        <v>46022</v>
      </c>
      <c r="P7" s="238" t="s">
        <v>56</v>
      </c>
      <c r="Q7" s="84"/>
      <c r="R7" s="256"/>
    </row>
    <row r="8" spans="1:254" s="26" customFormat="1" ht="12" x14ac:dyDescent="0.25">
      <c r="B8" s="68" t="s">
        <v>57</v>
      </c>
      <c r="C8" s="88"/>
      <c r="D8" s="178" t="str">
        <f>IF('931'!E4="Orig. (0) - Rect. (1/9): 0","Original","Rectificativa")</f>
        <v>Rectificativa</v>
      </c>
      <c r="E8" s="178" t="str">
        <f>IF('931'!M4="Orig. (0) - Rect. (1/9): 0","Original","Rectificativa")</f>
        <v>Rectificativa</v>
      </c>
      <c r="F8" s="178" t="str">
        <f>IF('931'!U4="Orig. (0) - Rect. (1/9): 0","Original","Rectificativa")</f>
        <v>Rectificativa</v>
      </c>
      <c r="G8" s="178" t="str">
        <f>IF('931'!AC4="Orig. (0) - Rect. (1/9): 0","Original","Rectificativa")</f>
        <v>Rectificativa</v>
      </c>
      <c r="H8" s="178" t="str">
        <f>IF('931'!AK4="Orig. (0) - Rect. (1/9): 0","Original","Rectificativa")</f>
        <v>Rectificativa</v>
      </c>
      <c r="I8" s="178" t="str">
        <f>IF('931'!AS4="Orig. (0) - Rect. (1/9): 0","Original","Rectificativa")</f>
        <v>Rectificativa</v>
      </c>
      <c r="J8" s="178" t="str">
        <f>IF('931'!BA4="Orig. (0) - Rect. (1/9): 0","Original","Rectificativa")</f>
        <v>Rectificativa</v>
      </c>
      <c r="K8" s="178" t="str">
        <f>IF('931'!BI4="Orig. (0) - Rect. (1/9): 0","Original","Rectificativa")</f>
        <v>Rectificativa</v>
      </c>
      <c r="L8" s="178" t="str">
        <f>IF('931'!BQ4="Orig. (0) - Rect. (1/9): 0","Original","Rectificativa")</f>
        <v>Rectificativa</v>
      </c>
      <c r="M8" s="178" t="str">
        <f>IF('931'!BY4="Orig. (0) - Rect. (1/9): 0","Original","Rectificativa")</f>
        <v>Rectificativa</v>
      </c>
      <c r="N8" s="178" t="str">
        <f>IF('931'!CG4="Orig. (0) - Rect. (1/9): 0","Original","Rectificativa")</f>
        <v>Rectificativa</v>
      </c>
      <c r="O8" s="178" t="str">
        <f>IF('931'!CO4="Orig. (0) - Rect. (1/9): 0","Original","Rectificativa")</f>
        <v>Rectificativa</v>
      </c>
      <c r="P8" s="28"/>
      <c r="Q8" s="27"/>
      <c r="R8" s="257"/>
    </row>
    <row r="9" spans="1:254" s="26" customFormat="1" ht="12" x14ac:dyDescent="0.25">
      <c r="B9" s="70" t="s">
        <v>58</v>
      </c>
      <c r="C9" s="85"/>
      <c r="D9" s="135">
        <f>'931'!F6</f>
        <v>0</v>
      </c>
      <c r="E9" s="135">
        <f>'931'!N6</f>
        <v>0</v>
      </c>
      <c r="F9" s="135">
        <f>'931'!V6</f>
        <v>0</v>
      </c>
      <c r="G9" s="135">
        <f>'931'!AD6</f>
        <v>0</v>
      </c>
      <c r="H9" s="135">
        <f>'931'!AL6</f>
        <v>0</v>
      </c>
      <c r="I9" s="135">
        <f>'931'!AT6</f>
        <v>0</v>
      </c>
      <c r="J9" s="135">
        <f>'931'!BB6</f>
        <v>0</v>
      </c>
      <c r="K9" s="135">
        <f>'931'!BJ6</f>
        <v>0</v>
      </c>
      <c r="L9" s="135">
        <f>'931'!BR6</f>
        <v>0</v>
      </c>
      <c r="M9" s="135">
        <f>'931'!BZ6</f>
        <v>0</v>
      </c>
      <c r="N9" s="135">
        <f>'931'!CH6</f>
        <v>0</v>
      </c>
      <c r="O9" s="135">
        <f>'931'!CP6</f>
        <v>0</v>
      </c>
      <c r="P9" s="28"/>
      <c r="Q9" s="27"/>
      <c r="R9" s="257"/>
    </row>
    <row r="10" spans="1:254" s="26" customFormat="1" ht="12" x14ac:dyDescent="0.25">
      <c r="B10" s="70" t="s">
        <v>59</v>
      </c>
      <c r="C10" s="85"/>
      <c r="D10" s="334">
        <f>'931'!D5</f>
        <v>0</v>
      </c>
      <c r="E10" s="334">
        <f>'931'!L5</f>
        <v>0</v>
      </c>
      <c r="F10" s="334">
        <f>'931'!T5</f>
        <v>0</v>
      </c>
      <c r="G10" s="334">
        <f>'931'!AB5</f>
        <v>0</v>
      </c>
      <c r="H10" s="334">
        <f>'931'!AJ5</f>
        <v>0</v>
      </c>
      <c r="I10" s="334">
        <f>'931'!AR5</f>
        <v>0</v>
      </c>
      <c r="J10" s="334">
        <f>'931'!AZ5</f>
        <v>0</v>
      </c>
      <c r="K10" s="334">
        <f>'931'!BH5</f>
        <v>0</v>
      </c>
      <c r="L10" s="334">
        <f>'931'!BP5</f>
        <v>0</v>
      </c>
      <c r="M10" s="334">
        <f>'931'!BX5</f>
        <v>0</v>
      </c>
      <c r="N10" s="334">
        <f>'931'!CF5</f>
        <v>0</v>
      </c>
      <c r="O10" s="334">
        <f>'931'!CN5</f>
        <v>0</v>
      </c>
      <c r="P10" s="180"/>
      <c r="Q10" s="27"/>
      <c r="R10" s="257"/>
    </row>
    <row r="11" spans="1:254" s="26" customFormat="1" ht="12" x14ac:dyDescent="0.25">
      <c r="B11" s="91" t="s">
        <v>60</v>
      </c>
      <c r="C11" s="86"/>
      <c r="D11" s="134">
        <f>'931'!F8</f>
        <v>0</v>
      </c>
      <c r="E11" s="134">
        <f>'931'!N8</f>
        <v>0</v>
      </c>
      <c r="F11" s="134">
        <f>'931'!V8</f>
        <v>0</v>
      </c>
      <c r="G11" s="134">
        <f>'931'!AD8</f>
        <v>0</v>
      </c>
      <c r="H11" s="134">
        <f>'931'!AL8</f>
        <v>0</v>
      </c>
      <c r="I11" s="134">
        <f>'931'!AT8</f>
        <v>0</v>
      </c>
      <c r="J11" s="134">
        <f>'931'!BB8</f>
        <v>0</v>
      </c>
      <c r="K11" s="134">
        <f>'931'!BJ8</f>
        <v>0</v>
      </c>
      <c r="L11" s="134">
        <f>'931'!BR8</f>
        <v>0</v>
      </c>
      <c r="M11" s="134">
        <f>'931'!BZ8</f>
        <v>0</v>
      </c>
      <c r="N11" s="134">
        <f>'931'!CH8</f>
        <v>0</v>
      </c>
      <c r="O11" s="134">
        <f>'931'!CP8</f>
        <v>0</v>
      </c>
      <c r="P11" s="254">
        <f>SUM(D11:O11)</f>
        <v>0</v>
      </c>
      <c r="Q11" s="32"/>
      <c r="R11" s="257"/>
    </row>
    <row r="12" spans="1:254" s="26" customFormat="1" ht="12" x14ac:dyDescent="0.25">
      <c r="B12" s="35" t="s">
        <v>61</v>
      </c>
      <c r="C12" s="87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242">
        <f>SUM(D12:O12)</f>
        <v>0</v>
      </c>
      <c r="Q12" s="32"/>
      <c r="R12" s="257"/>
    </row>
    <row r="13" spans="1:254" s="26" customFormat="1" ht="12" x14ac:dyDescent="0.25">
      <c r="B13" s="68" t="s">
        <v>62</v>
      </c>
      <c r="C13" s="88"/>
      <c r="D13" s="134">
        <f>'931'!F16</f>
        <v>0</v>
      </c>
      <c r="E13" s="134">
        <f>'931'!N16</f>
        <v>0</v>
      </c>
      <c r="F13" s="134">
        <f>'931'!V16</f>
        <v>0</v>
      </c>
      <c r="G13" s="134">
        <f>'931'!AD16</f>
        <v>0</v>
      </c>
      <c r="H13" s="134">
        <f>'931'!AL16</f>
        <v>0</v>
      </c>
      <c r="I13" s="134">
        <f>'931'!AT16</f>
        <v>0</v>
      </c>
      <c r="J13" s="134">
        <f>'931'!BB16</f>
        <v>0</v>
      </c>
      <c r="K13" s="134">
        <f>'931'!BJ16</f>
        <v>0</v>
      </c>
      <c r="L13" s="134">
        <f>'931'!BR16</f>
        <v>0</v>
      </c>
      <c r="M13" s="134">
        <f>'931'!BZ16</f>
        <v>0</v>
      </c>
      <c r="N13" s="134">
        <f>'931'!CH16</f>
        <v>0</v>
      </c>
      <c r="O13" s="134">
        <f>'931'!CP16</f>
        <v>0</v>
      </c>
      <c r="P13" s="242">
        <f>SUM(D13:O13)</f>
        <v>0</v>
      </c>
      <c r="Q13" s="27"/>
      <c r="R13" s="257"/>
    </row>
    <row r="14" spans="1:254" s="26" customFormat="1" ht="12" x14ac:dyDescent="0.25">
      <c r="B14" s="92" t="s">
        <v>63</v>
      </c>
      <c r="C14" s="89"/>
      <c r="D14" s="179">
        <f>'931'!D19</f>
        <v>0</v>
      </c>
      <c r="E14" s="179">
        <f>'931'!L19</f>
        <v>0</v>
      </c>
      <c r="F14" s="179">
        <f>'931'!T19</f>
        <v>0</v>
      </c>
      <c r="G14" s="179">
        <f>'931'!AB19</f>
        <v>0</v>
      </c>
      <c r="H14" s="179">
        <f>'931'!AJ19</f>
        <v>0</v>
      </c>
      <c r="I14" s="179">
        <f>'931'!AR19</f>
        <v>0</v>
      </c>
      <c r="J14" s="179">
        <f>'931'!AZ19</f>
        <v>0</v>
      </c>
      <c r="K14" s="179">
        <f>'931'!BH19</f>
        <v>0</v>
      </c>
      <c r="L14" s="179">
        <f>'931'!BP19</f>
        <v>0</v>
      </c>
      <c r="M14" s="179">
        <f>'931'!BX19</f>
        <v>0</v>
      </c>
      <c r="N14" s="179">
        <f>'931'!CF19</f>
        <v>0</v>
      </c>
      <c r="O14" s="179">
        <f>'931'!CN19</f>
        <v>0</v>
      </c>
      <c r="P14" s="181"/>
      <c r="Q14" s="27"/>
      <c r="R14" s="257"/>
    </row>
    <row r="15" spans="1:254" s="26" customFormat="1" ht="12" x14ac:dyDescent="0.25">
      <c r="B15" s="93" t="s">
        <v>64</v>
      </c>
      <c r="C15" s="90"/>
      <c r="D15" s="133">
        <f>'931'!D20</f>
        <v>0</v>
      </c>
      <c r="E15" s="133">
        <f>'931'!L20</f>
        <v>0</v>
      </c>
      <c r="F15" s="133">
        <f>'931'!T20</f>
        <v>0</v>
      </c>
      <c r="G15" s="133">
        <f>'931'!AB20</f>
        <v>0</v>
      </c>
      <c r="H15" s="133">
        <f>'931'!AJ20</f>
        <v>0</v>
      </c>
      <c r="I15" s="133">
        <f>'931'!AR20</f>
        <v>0</v>
      </c>
      <c r="J15" s="133">
        <f>'931'!AZ20</f>
        <v>0</v>
      </c>
      <c r="K15" s="133">
        <f>'931'!BH20</f>
        <v>0</v>
      </c>
      <c r="L15" s="133">
        <f>'931'!BP20</f>
        <v>0</v>
      </c>
      <c r="M15" s="133">
        <f>'931'!BX20</f>
        <v>0</v>
      </c>
      <c r="N15" s="133">
        <f>'931'!CF20</f>
        <v>0</v>
      </c>
      <c r="O15" s="133">
        <f>'931'!CN20</f>
        <v>0</v>
      </c>
      <c r="P15" s="28"/>
      <c r="Q15" s="27"/>
      <c r="R15" s="257"/>
    </row>
    <row r="16" spans="1:254" s="26" customFormat="1" ht="12" x14ac:dyDescent="0.25">
      <c r="B16" s="251" t="s">
        <v>65</v>
      </c>
      <c r="C16" s="239"/>
      <c r="D16" s="240">
        <f>+D14-D15</f>
        <v>0</v>
      </c>
      <c r="E16" s="240">
        <f t="shared" ref="E16:O16" si="1">+E14-E15</f>
        <v>0</v>
      </c>
      <c r="F16" s="240">
        <f t="shared" si="1"/>
        <v>0</v>
      </c>
      <c r="G16" s="240">
        <f t="shared" si="1"/>
        <v>0</v>
      </c>
      <c r="H16" s="240">
        <f t="shared" si="1"/>
        <v>0</v>
      </c>
      <c r="I16" s="240">
        <f t="shared" si="1"/>
        <v>0</v>
      </c>
      <c r="J16" s="240">
        <f t="shared" si="1"/>
        <v>0</v>
      </c>
      <c r="K16" s="240">
        <f t="shared" si="1"/>
        <v>0</v>
      </c>
      <c r="L16" s="240">
        <f t="shared" si="1"/>
        <v>0</v>
      </c>
      <c r="M16" s="240">
        <f t="shared" si="1"/>
        <v>0</v>
      </c>
      <c r="N16" s="240">
        <f t="shared" si="1"/>
        <v>0</v>
      </c>
      <c r="O16" s="241">
        <f t="shared" si="1"/>
        <v>0</v>
      </c>
      <c r="P16" s="242">
        <f>SUM(D16:O16)</f>
        <v>0</v>
      </c>
      <c r="R16" s="257"/>
    </row>
    <row r="17" spans="2:19" s="27" customFormat="1" ht="12.75" customHeight="1" x14ac:dyDescent="0.25">
      <c r="B17" s="92" t="s">
        <v>66</v>
      </c>
      <c r="C17" s="89"/>
      <c r="D17" s="179">
        <f>'931'!D24</f>
        <v>0</v>
      </c>
      <c r="E17" s="179">
        <f>'931'!L24</f>
        <v>0</v>
      </c>
      <c r="F17" s="182">
        <f>'931'!T24</f>
        <v>0</v>
      </c>
      <c r="G17" s="182">
        <f>'931'!AB24</f>
        <v>0</v>
      </c>
      <c r="H17" s="182">
        <f>'931'!AJ24</f>
        <v>0</v>
      </c>
      <c r="I17" s="182">
        <f>'931'!AR24</f>
        <v>0</v>
      </c>
      <c r="J17" s="182">
        <f>'931'!AZ24</f>
        <v>0</v>
      </c>
      <c r="K17" s="182">
        <f>'931'!BH24</f>
        <v>0</v>
      </c>
      <c r="L17" s="182">
        <f>'931'!BP24</f>
        <v>0</v>
      </c>
      <c r="M17" s="182">
        <f>'931'!BX24</f>
        <v>0</v>
      </c>
      <c r="N17" s="182">
        <f>'931'!CF24</f>
        <v>0</v>
      </c>
      <c r="O17" s="182">
        <f>'931'!CN24</f>
        <v>0</v>
      </c>
      <c r="P17" s="181"/>
      <c r="R17" s="257"/>
    </row>
    <row r="18" spans="2:19" s="27" customFormat="1" ht="12" x14ac:dyDescent="0.25">
      <c r="B18" s="67" t="s">
        <v>67</v>
      </c>
      <c r="C18" s="69"/>
      <c r="D18" s="133">
        <f>'931'!D25</f>
        <v>0</v>
      </c>
      <c r="E18" s="133">
        <f>'931'!L25</f>
        <v>0</v>
      </c>
      <c r="F18" s="133">
        <f>'931'!T25</f>
        <v>0</v>
      </c>
      <c r="G18" s="133">
        <f>'931'!AB25</f>
        <v>0</v>
      </c>
      <c r="H18" s="133">
        <f>'931'!AJ25</f>
        <v>0</v>
      </c>
      <c r="I18" s="133">
        <f>'931'!AR25</f>
        <v>0</v>
      </c>
      <c r="J18" s="133">
        <f>'931'!AZ25</f>
        <v>0</v>
      </c>
      <c r="K18" s="133">
        <f>'931'!BH25</f>
        <v>0</v>
      </c>
      <c r="L18" s="133">
        <f>'931'!BP25</f>
        <v>0</v>
      </c>
      <c r="M18" s="133">
        <f>'931'!BX25</f>
        <v>0</v>
      </c>
      <c r="N18" s="133">
        <f>'931'!CF25</f>
        <v>0</v>
      </c>
      <c r="O18" s="133">
        <f>'931'!CN25</f>
        <v>0</v>
      </c>
      <c r="P18" s="28"/>
      <c r="R18" s="257"/>
    </row>
    <row r="19" spans="2:19" s="27" customFormat="1" ht="12" x14ac:dyDescent="0.25">
      <c r="B19" s="67" t="s">
        <v>68</v>
      </c>
      <c r="C19" s="69"/>
      <c r="D19" s="132">
        <f>'931'!D26</f>
        <v>0</v>
      </c>
      <c r="E19" s="132">
        <f>'931'!L26</f>
        <v>0</v>
      </c>
      <c r="F19" s="132">
        <f>'931'!T26</f>
        <v>0</v>
      </c>
      <c r="G19" s="132">
        <f>'931'!AB26</f>
        <v>0</v>
      </c>
      <c r="H19" s="132">
        <f>'931'!AJ26</f>
        <v>0</v>
      </c>
      <c r="I19" s="132">
        <f>'931'!AR26</f>
        <v>0</v>
      </c>
      <c r="J19" s="132">
        <f>'931'!AZ26</f>
        <v>0</v>
      </c>
      <c r="K19" s="132">
        <f>'931'!BH26</f>
        <v>0</v>
      </c>
      <c r="L19" s="132">
        <f>'931'!BP26</f>
        <v>0</v>
      </c>
      <c r="M19" s="132">
        <f>'931'!BX26</f>
        <v>0</v>
      </c>
      <c r="N19" s="132">
        <f>'931'!CF26</f>
        <v>0</v>
      </c>
      <c r="O19" s="132">
        <f>'931'!CN26</f>
        <v>0</v>
      </c>
      <c r="P19" s="28"/>
      <c r="R19" s="257"/>
    </row>
    <row r="20" spans="2:19" s="27" customFormat="1" ht="12" x14ac:dyDescent="0.25">
      <c r="B20" s="93" t="s">
        <v>69</v>
      </c>
      <c r="C20" s="90"/>
      <c r="D20" s="177">
        <f>'931'!D29</f>
        <v>0</v>
      </c>
      <c r="E20" s="177">
        <f>'931'!L29</f>
        <v>0</v>
      </c>
      <c r="F20" s="177">
        <f>'931'!T29</f>
        <v>0</v>
      </c>
      <c r="G20" s="177">
        <f>'931'!AB29</f>
        <v>0</v>
      </c>
      <c r="H20" s="177">
        <f>'931'!AJ29</f>
        <v>0</v>
      </c>
      <c r="I20" s="177">
        <f>'931'!AR29</f>
        <v>0</v>
      </c>
      <c r="J20" s="177">
        <f>'931'!AZ29</f>
        <v>0</v>
      </c>
      <c r="K20" s="177">
        <f>'931'!BH29</f>
        <v>0</v>
      </c>
      <c r="L20" s="177">
        <f>'931'!BP29</f>
        <v>0</v>
      </c>
      <c r="M20" s="177">
        <f>'931'!BX29</f>
        <v>0</v>
      </c>
      <c r="N20" s="177">
        <f>'931'!CF29</f>
        <v>0</v>
      </c>
      <c r="O20" s="177">
        <f>'931'!CN29</f>
        <v>0</v>
      </c>
      <c r="P20" s="28"/>
      <c r="R20" s="257"/>
    </row>
    <row r="21" spans="2:19" s="26" customFormat="1" ht="12" x14ac:dyDescent="0.25">
      <c r="B21" s="251" t="s">
        <v>70</v>
      </c>
      <c r="C21" s="239"/>
      <c r="D21" s="240">
        <f>+D17-D18-D19-D20</f>
        <v>0</v>
      </c>
      <c r="E21" s="240">
        <f t="shared" ref="E21:O21" si="2">+E17-E18-E19-E20</f>
        <v>0</v>
      </c>
      <c r="F21" s="240">
        <f t="shared" si="2"/>
        <v>0</v>
      </c>
      <c r="G21" s="240">
        <f t="shared" si="2"/>
        <v>0</v>
      </c>
      <c r="H21" s="240">
        <f t="shared" si="2"/>
        <v>0</v>
      </c>
      <c r="I21" s="240">
        <f>+I17-I18-I19-I20</f>
        <v>0</v>
      </c>
      <c r="J21" s="240">
        <f t="shared" si="2"/>
        <v>0</v>
      </c>
      <c r="K21" s="240">
        <f t="shared" si="2"/>
        <v>0</v>
      </c>
      <c r="L21" s="240">
        <f t="shared" si="2"/>
        <v>0</v>
      </c>
      <c r="M21" s="240">
        <f t="shared" si="2"/>
        <v>0</v>
      </c>
      <c r="N21" s="240">
        <f t="shared" si="2"/>
        <v>0</v>
      </c>
      <c r="O21" s="241">
        <f t="shared" si="2"/>
        <v>0</v>
      </c>
      <c r="P21" s="242">
        <f>SUM(D21:O21)</f>
        <v>0</v>
      </c>
      <c r="R21" s="257"/>
      <c r="S21" s="29"/>
    </row>
    <row r="22" spans="2:19" s="26" customFormat="1" ht="12" x14ac:dyDescent="0.25">
      <c r="B22" s="70" t="s">
        <v>71</v>
      </c>
      <c r="C22" s="85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30"/>
      <c r="P22" s="242">
        <f>SUM(D22:O22)</f>
        <v>0</v>
      </c>
      <c r="R22" s="257"/>
      <c r="S22" s="29"/>
    </row>
    <row r="23" spans="2:19" s="26" customFormat="1" ht="12" x14ac:dyDescent="0.25">
      <c r="B23" s="70" t="s">
        <v>72</v>
      </c>
      <c r="C23" s="85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30"/>
      <c r="P23" s="242">
        <f>SUM(D23:O23)</f>
        <v>0</v>
      </c>
      <c r="R23" s="257"/>
      <c r="S23" s="29"/>
    </row>
    <row r="24" spans="2:19" s="26" customFormat="1" ht="12" x14ac:dyDescent="0.25">
      <c r="B24" s="92" t="s">
        <v>73</v>
      </c>
      <c r="C24" s="89"/>
      <c r="D24" s="134">
        <f>'931'!H19</f>
        <v>0</v>
      </c>
      <c r="E24" s="134">
        <f>'931'!P19</f>
        <v>0</v>
      </c>
      <c r="F24" s="134">
        <f>'931'!X19</f>
        <v>0</v>
      </c>
      <c r="G24" s="134">
        <f>'931'!AF19</f>
        <v>0</v>
      </c>
      <c r="H24" s="134">
        <f>'931'!AN19</f>
        <v>0</v>
      </c>
      <c r="I24" s="134">
        <f>'931'!AV19</f>
        <v>0</v>
      </c>
      <c r="J24" s="134">
        <f>'931'!BD19</f>
        <v>0</v>
      </c>
      <c r="K24" s="134">
        <f>'931'!BL19</f>
        <v>0</v>
      </c>
      <c r="L24" s="134">
        <f>'931'!BT19</f>
        <v>0</v>
      </c>
      <c r="M24" s="134">
        <f>'931'!CB19</f>
        <v>0</v>
      </c>
      <c r="N24" s="134">
        <f>'931'!CJ19</f>
        <v>0</v>
      </c>
      <c r="O24" s="134">
        <f>'931'!CR19</f>
        <v>0</v>
      </c>
      <c r="P24" s="181"/>
      <c r="Q24" s="27"/>
      <c r="R24" s="257"/>
      <c r="S24" s="29"/>
    </row>
    <row r="25" spans="2:19" s="26" customFormat="1" ht="12" x14ac:dyDescent="0.25">
      <c r="B25" s="93" t="s">
        <v>64</v>
      </c>
      <c r="C25" s="90"/>
      <c r="D25" s="133">
        <f>'931'!H20</f>
        <v>0</v>
      </c>
      <c r="E25" s="133">
        <f>'931'!P20</f>
        <v>0</v>
      </c>
      <c r="F25" s="133">
        <f>'931'!X20</f>
        <v>0</v>
      </c>
      <c r="G25" s="133">
        <f>'931'!AF20</f>
        <v>0</v>
      </c>
      <c r="H25" s="133">
        <f>'931'!AN20</f>
        <v>0</v>
      </c>
      <c r="I25" s="133">
        <f>'931'!AV20</f>
        <v>0</v>
      </c>
      <c r="J25" s="133">
        <f>'931'!BD20</f>
        <v>0</v>
      </c>
      <c r="K25" s="133">
        <f>'931'!BL20</f>
        <v>0</v>
      </c>
      <c r="L25" s="133">
        <f>'931'!BT20</f>
        <v>0</v>
      </c>
      <c r="M25" s="133">
        <f>'931'!CB20</f>
        <v>0</v>
      </c>
      <c r="N25" s="133">
        <f>'931'!CJ20</f>
        <v>0</v>
      </c>
      <c r="O25" s="133">
        <f>'931'!CR20</f>
        <v>0</v>
      </c>
      <c r="P25" s="28"/>
      <c r="Q25" s="27"/>
      <c r="R25" s="257"/>
      <c r="S25" s="29"/>
    </row>
    <row r="26" spans="2:19" s="26" customFormat="1" ht="12" x14ac:dyDescent="0.25">
      <c r="B26" s="251" t="s">
        <v>74</v>
      </c>
      <c r="C26" s="239"/>
      <c r="D26" s="240">
        <f>+D24-D25</f>
        <v>0</v>
      </c>
      <c r="E26" s="240">
        <f t="shared" ref="E26:O26" si="3">+E24-E25</f>
        <v>0</v>
      </c>
      <c r="F26" s="240">
        <f t="shared" si="3"/>
        <v>0</v>
      </c>
      <c r="G26" s="240">
        <f t="shared" si="3"/>
        <v>0</v>
      </c>
      <c r="H26" s="240">
        <f t="shared" si="3"/>
        <v>0</v>
      </c>
      <c r="I26" s="240">
        <f t="shared" si="3"/>
        <v>0</v>
      </c>
      <c r="J26" s="240">
        <f t="shared" si="3"/>
        <v>0</v>
      </c>
      <c r="K26" s="240">
        <f t="shared" si="3"/>
        <v>0</v>
      </c>
      <c r="L26" s="240">
        <f t="shared" si="3"/>
        <v>0</v>
      </c>
      <c r="M26" s="240">
        <f t="shared" si="3"/>
        <v>0</v>
      </c>
      <c r="N26" s="240">
        <f t="shared" si="3"/>
        <v>0</v>
      </c>
      <c r="O26" s="241">
        <f t="shared" si="3"/>
        <v>0</v>
      </c>
      <c r="P26" s="242">
        <f>SUM(D26:O26)</f>
        <v>0</v>
      </c>
      <c r="R26" s="257"/>
      <c r="S26" s="29"/>
    </row>
    <row r="27" spans="2:19" s="27" customFormat="1" ht="12" x14ac:dyDescent="0.25">
      <c r="B27" s="92" t="s">
        <v>75</v>
      </c>
      <c r="C27" s="89"/>
      <c r="D27" s="182">
        <f>'931'!H23</f>
        <v>0</v>
      </c>
      <c r="E27" s="182">
        <f>'931'!P23</f>
        <v>0</v>
      </c>
      <c r="F27" s="182">
        <f>'931'!X23</f>
        <v>0</v>
      </c>
      <c r="G27" s="182">
        <f>'931'!AF23</f>
        <v>0</v>
      </c>
      <c r="H27" s="182">
        <f>'931'!AN23</f>
        <v>0</v>
      </c>
      <c r="I27" s="182">
        <f>'931'!AV23</f>
        <v>0</v>
      </c>
      <c r="J27" s="182">
        <f>'931'!BD23</f>
        <v>0</v>
      </c>
      <c r="K27" s="182">
        <f>'931'!BL23</f>
        <v>0</v>
      </c>
      <c r="L27" s="182">
        <f>'931'!BT23</f>
        <v>0</v>
      </c>
      <c r="M27" s="182">
        <f>'931'!CB23</f>
        <v>0</v>
      </c>
      <c r="N27" s="182">
        <f>'931'!CJ23</f>
        <v>0</v>
      </c>
      <c r="O27" s="182">
        <f>'931'!CR23</f>
        <v>0</v>
      </c>
      <c r="P27" s="181"/>
      <c r="R27" s="257"/>
    </row>
    <row r="28" spans="2:19" s="27" customFormat="1" ht="12" x14ac:dyDescent="0.25">
      <c r="B28" s="67" t="s">
        <v>67</v>
      </c>
      <c r="C28" s="69"/>
      <c r="D28" s="133">
        <f>'931'!H24</f>
        <v>0</v>
      </c>
      <c r="E28" s="133">
        <f>'931'!P24</f>
        <v>0</v>
      </c>
      <c r="F28" s="133">
        <f>'931'!X24</f>
        <v>0</v>
      </c>
      <c r="G28" s="133">
        <f>'931'!AF24</f>
        <v>0</v>
      </c>
      <c r="H28" s="133">
        <f>'931'!AN24</f>
        <v>0</v>
      </c>
      <c r="I28" s="133">
        <f>'931'!AV24</f>
        <v>0</v>
      </c>
      <c r="J28" s="133">
        <f>'931'!BD24</f>
        <v>0</v>
      </c>
      <c r="K28" s="133">
        <f>'931'!BL24</f>
        <v>0</v>
      </c>
      <c r="L28" s="133">
        <f>'931'!BT24</f>
        <v>0</v>
      </c>
      <c r="M28" s="133">
        <f>'931'!CB24</f>
        <v>0</v>
      </c>
      <c r="N28" s="133">
        <f>'931'!CJ24</f>
        <v>0</v>
      </c>
      <c r="O28" s="133">
        <f>'931'!CR24</f>
        <v>0</v>
      </c>
      <c r="P28" s="28"/>
      <c r="R28" s="257"/>
    </row>
    <row r="29" spans="2:19" s="27" customFormat="1" ht="12" x14ac:dyDescent="0.25">
      <c r="B29" s="93" t="s">
        <v>69</v>
      </c>
      <c r="C29" s="90"/>
      <c r="D29" s="133">
        <f>'931'!H27</f>
        <v>0</v>
      </c>
      <c r="E29" s="133">
        <f>'931'!P27</f>
        <v>0</v>
      </c>
      <c r="F29" s="133">
        <f>'931'!X27</f>
        <v>0</v>
      </c>
      <c r="G29" s="133">
        <f>'931'!AF27</f>
        <v>0</v>
      </c>
      <c r="H29" s="133">
        <f>'931'!AN27</f>
        <v>0</v>
      </c>
      <c r="I29" s="133">
        <f>'931'!AV27</f>
        <v>0</v>
      </c>
      <c r="J29" s="133">
        <f>'931'!BD27</f>
        <v>0</v>
      </c>
      <c r="K29" s="133">
        <f>'931'!BL27</f>
        <v>0</v>
      </c>
      <c r="L29" s="133">
        <f>'931'!BT27</f>
        <v>0</v>
      </c>
      <c r="M29" s="133">
        <f>'931'!CB27</f>
        <v>0</v>
      </c>
      <c r="N29" s="133">
        <f>'931'!CJ27</f>
        <v>0</v>
      </c>
      <c r="O29" s="133">
        <f>'931'!CR27</f>
        <v>0</v>
      </c>
      <c r="P29" s="28"/>
      <c r="R29" s="257"/>
    </row>
    <row r="30" spans="2:19" s="26" customFormat="1" ht="12" x14ac:dyDescent="0.25">
      <c r="B30" s="251" t="s">
        <v>76</v>
      </c>
      <c r="C30" s="239"/>
      <c r="D30" s="241">
        <f>+D27-D28-D29</f>
        <v>0</v>
      </c>
      <c r="E30" s="243">
        <f t="shared" ref="E30:O30" si="4">+E27-E28-E29</f>
        <v>0</v>
      </c>
      <c r="F30" s="243">
        <f>+F27-F28-F29</f>
        <v>0</v>
      </c>
      <c r="G30" s="243">
        <f t="shared" si="4"/>
        <v>0</v>
      </c>
      <c r="H30" s="243">
        <f t="shared" si="4"/>
        <v>0</v>
      </c>
      <c r="I30" s="243">
        <f t="shared" si="4"/>
        <v>0</v>
      </c>
      <c r="J30" s="243">
        <f t="shared" si="4"/>
        <v>0</v>
      </c>
      <c r="K30" s="243">
        <f t="shared" si="4"/>
        <v>0</v>
      </c>
      <c r="L30" s="243">
        <f t="shared" si="4"/>
        <v>0</v>
      </c>
      <c r="M30" s="243">
        <f t="shared" si="4"/>
        <v>0</v>
      </c>
      <c r="N30" s="243">
        <f t="shared" si="4"/>
        <v>0</v>
      </c>
      <c r="O30" s="243">
        <f t="shared" si="4"/>
        <v>0</v>
      </c>
      <c r="P30" s="242">
        <f>SUM(D30:O30)</f>
        <v>0</v>
      </c>
      <c r="R30" s="257"/>
      <c r="S30" s="29"/>
    </row>
    <row r="31" spans="2:19" s="26" customFormat="1" ht="12" x14ac:dyDescent="0.25">
      <c r="B31" s="251" t="s">
        <v>77</v>
      </c>
      <c r="C31" s="239"/>
      <c r="D31" s="179">
        <f>'931'!D44</f>
        <v>0</v>
      </c>
      <c r="E31" s="179">
        <f>'931'!L44</f>
        <v>0</v>
      </c>
      <c r="F31" s="179">
        <f>'931'!T44</f>
        <v>0</v>
      </c>
      <c r="G31" s="179">
        <f>'931'!AB44</f>
        <v>0</v>
      </c>
      <c r="H31" s="179">
        <f>'931'!AJ44</f>
        <v>0</v>
      </c>
      <c r="I31" s="179">
        <f>'931'!AR44</f>
        <v>0</v>
      </c>
      <c r="J31" s="179">
        <f>'931'!AZ44</f>
        <v>0</v>
      </c>
      <c r="K31" s="179">
        <f>'931'!BH44</f>
        <v>0</v>
      </c>
      <c r="L31" s="179">
        <f>'931'!BP44</f>
        <v>0</v>
      </c>
      <c r="M31" s="179">
        <f>'931'!BX44</f>
        <v>0</v>
      </c>
      <c r="N31" s="179">
        <f>'931'!CF44</f>
        <v>0</v>
      </c>
      <c r="O31" s="179">
        <f>'931'!CN44</f>
        <v>0</v>
      </c>
      <c r="P31" s="253">
        <f>SUM(D31:O31)</f>
        <v>0</v>
      </c>
      <c r="R31" s="257"/>
    </row>
    <row r="32" spans="2:19" s="26" customFormat="1" ht="12" x14ac:dyDescent="0.25">
      <c r="B32" s="251" t="s">
        <v>78</v>
      </c>
      <c r="C32" s="239"/>
      <c r="D32" s="179">
        <f>'931'!H44</f>
        <v>0</v>
      </c>
      <c r="E32" s="179">
        <f>'931'!P44</f>
        <v>0</v>
      </c>
      <c r="F32" s="179">
        <f>'931'!X44</f>
        <v>0</v>
      </c>
      <c r="G32" s="179">
        <f>'931'!AF44</f>
        <v>0</v>
      </c>
      <c r="H32" s="179">
        <f>'931'!AN44</f>
        <v>0</v>
      </c>
      <c r="I32" s="179">
        <f>'931'!AV44</f>
        <v>0</v>
      </c>
      <c r="J32" s="179">
        <f>'931'!BD44</f>
        <v>0</v>
      </c>
      <c r="K32" s="179">
        <f>'931'!BL44</f>
        <v>0</v>
      </c>
      <c r="L32" s="179">
        <f>'931'!BT44</f>
        <v>0</v>
      </c>
      <c r="M32" s="179">
        <f>'931'!CB44</f>
        <v>0</v>
      </c>
      <c r="N32" s="179">
        <f>'931'!CJ44</f>
        <v>0</v>
      </c>
      <c r="O32" s="179">
        <f>'931'!CK44</f>
        <v>0</v>
      </c>
      <c r="P32" s="253">
        <f>SUM(D32:O32)</f>
        <v>0</v>
      </c>
      <c r="R32" s="257"/>
    </row>
    <row r="33" spans="2:19" s="26" customFormat="1" ht="12.6" thickBot="1" x14ac:dyDescent="0.3">
      <c r="B33" s="252" t="s">
        <v>79</v>
      </c>
      <c r="C33" s="244"/>
      <c r="D33" s="245">
        <f>+D16+D21+D31+D26+D30+D32+D22+D23</f>
        <v>0</v>
      </c>
      <c r="E33" s="245">
        <f>+E16+E21+E31+E26+E30+E32+E22+E23</f>
        <v>0</v>
      </c>
      <c r="F33" s="245">
        <f t="shared" ref="F33:O33" si="5">+F16+F21+F31+F26+F30+F32+F22+F23</f>
        <v>0</v>
      </c>
      <c r="G33" s="245">
        <f>+G16+G21+G31+G26+G30+G32+G22+G23</f>
        <v>0</v>
      </c>
      <c r="H33" s="245">
        <f>+H16+H21+H31+H26+H30+H32+H22+H23</f>
        <v>0</v>
      </c>
      <c r="I33" s="245">
        <f t="shared" si="5"/>
        <v>0</v>
      </c>
      <c r="J33" s="245">
        <f>+J16+J21+J31+J26+J30+J32+J22+J23</f>
        <v>0</v>
      </c>
      <c r="K33" s="245">
        <f t="shared" si="5"/>
        <v>0</v>
      </c>
      <c r="L33" s="245">
        <f t="shared" si="5"/>
        <v>0</v>
      </c>
      <c r="M33" s="245">
        <f t="shared" si="5"/>
        <v>0</v>
      </c>
      <c r="N33" s="245">
        <f t="shared" si="5"/>
        <v>0</v>
      </c>
      <c r="O33" s="245">
        <f t="shared" si="5"/>
        <v>0</v>
      </c>
      <c r="P33" s="246">
        <f>SUM(D33:O33)</f>
        <v>0</v>
      </c>
      <c r="R33" s="257"/>
      <c r="S33" s="29"/>
    </row>
    <row r="34" spans="2:19" s="26" customFormat="1" ht="12" x14ac:dyDescent="0.25">
      <c r="B34" s="35" t="s">
        <v>80</v>
      </c>
      <c r="C34" s="87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254">
        <f t="shared" ref="P34:P37" si="6">SUM(D34:O34)</f>
        <v>0</v>
      </c>
      <c r="R34" s="257"/>
    </row>
    <row r="35" spans="2:19" s="26" customFormat="1" ht="12" x14ac:dyDescent="0.25">
      <c r="B35" s="35" t="s">
        <v>81</v>
      </c>
      <c r="C35" s="87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242">
        <f t="shared" si="6"/>
        <v>0</v>
      </c>
      <c r="R35" s="258"/>
    </row>
    <row r="36" spans="2:19" s="26" customFormat="1" ht="12" x14ac:dyDescent="0.25">
      <c r="B36" s="35" t="s">
        <v>82</v>
      </c>
      <c r="C36" s="87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255"/>
      <c r="R36" s="258"/>
    </row>
    <row r="37" spans="2:19" s="26" customFormat="1" ht="12.6" thickBot="1" x14ac:dyDescent="0.3">
      <c r="B37" s="35" t="s">
        <v>83</v>
      </c>
      <c r="C37" s="87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246">
        <f t="shared" si="6"/>
        <v>0</v>
      </c>
      <c r="R37" s="259"/>
    </row>
    <row r="38" spans="2:19" ht="13.8" thickBot="1" x14ac:dyDescent="0.3">
      <c r="B38" s="250" t="s">
        <v>84</v>
      </c>
      <c r="C38" s="247"/>
      <c r="D38" s="248">
        <f>+D11+D12+D17-D18+D27-D28+D32+D31+D37</f>
        <v>0</v>
      </c>
      <c r="E38" s="248">
        <f>+E11+E12+E17-E18+E27-E28+E32+E31+E37</f>
        <v>0</v>
      </c>
      <c r="F38" s="248">
        <f t="shared" ref="F38:O38" si="7">+F11+F12+F17-F18+F27-F28+F32+F31+F37</f>
        <v>0</v>
      </c>
      <c r="G38" s="248">
        <f t="shared" si="7"/>
        <v>0</v>
      </c>
      <c r="H38" s="248">
        <f t="shared" si="7"/>
        <v>0</v>
      </c>
      <c r="I38" s="248">
        <f t="shared" si="7"/>
        <v>0</v>
      </c>
      <c r="J38" s="248">
        <f t="shared" si="7"/>
        <v>0</v>
      </c>
      <c r="K38" s="248">
        <f t="shared" si="7"/>
        <v>0</v>
      </c>
      <c r="L38" s="248">
        <f t="shared" si="7"/>
        <v>0</v>
      </c>
      <c r="M38" s="248">
        <f t="shared" si="7"/>
        <v>0</v>
      </c>
      <c r="N38" s="248">
        <f t="shared" si="7"/>
        <v>0</v>
      </c>
      <c r="O38" s="248">
        <f t="shared" si="7"/>
        <v>0</v>
      </c>
      <c r="P38" s="249">
        <f>SUM(D38:O38)</f>
        <v>0</v>
      </c>
      <c r="Q38" s="77">
        <f>+D54</f>
        <v>0</v>
      </c>
      <c r="R38" s="260" t="e">
        <f>(+Q38-P38)/Q38</f>
        <v>#DIV/0!</v>
      </c>
    </row>
    <row r="39" spans="2:19" x14ac:dyDescent="0.25">
      <c r="B39" s="33"/>
      <c r="C39" s="33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34"/>
      <c r="Q39" s="141"/>
      <c r="R39" s="152"/>
    </row>
    <row r="40" spans="2:19" ht="13.8" thickBot="1" x14ac:dyDescent="0.3">
      <c r="B40" s="33"/>
      <c r="C40" s="33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34"/>
      <c r="P40" s="72"/>
      <c r="Q40" s="73"/>
    </row>
    <row r="41" spans="2:19" ht="13.8" thickBot="1" x14ac:dyDescent="0.3">
      <c r="B41" s="464" t="s">
        <v>85</v>
      </c>
      <c r="C41" s="465"/>
      <c r="D41" s="466"/>
    </row>
    <row r="42" spans="2:19" s="13" customFormat="1" ht="13.8" thickBot="1" x14ac:dyDescent="0.3">
      <c r="B42" s="158" t="s">
        <v>38</v>
      </c>
      <c r="C42" s="159" t="s">
        <v>86</v>
      </c>
      <c r="D42" s="160" t="s">
        <v>87</v>
      </c>
      <c r="E42" s="161" t="s">
        <v>88</v>
      </c>
      <c r="F42" s="161" t="s">
        <v>89</v>
      </c>
      <c r="G42" s="477" t="s">
        <v>45</v>
      </c>
      <c r="H42" s="478"/>
      <c r="I42" s="478"/>
      <c r="J42" s="478"/>
      <c r="K42" s="478"/>
      <c r="L42" s="479"/>
      <c r="M42"/>
      <c r="N42"/>
      <c r="O42"/>
      <c r="P42"/>
    </row>
    <row r="43" spans="2:19" x14ac:dyDescent="0.25">
      <c r="B43" s="74"/>
      <c r="C43" s="75"/>
      <c r="D43" s="76">
        <f>IFERROR(VLOOKUP(B43,Sys!$C$3:$E$4667,3,FALSE),0)</f>
        <v>0</v>
      </c>
      <c r="E43" s="420"/>
      <c r="F43" s="261">
        <f t="shared" ref="F43:F53" si="8">+D43-E43</f>
        <v>0</v>
      </c>
      <c r="G43" s="480"/>
      <c r="H43" s="481"/>
      <c r="I43" s="481"/>
      <c r="J43" s="481"/>
      <c r="K43" s="481"/>
      <c r="L43" s="482"/>
    </row>
    <row r="44" spans="2:19" x14ac:dyDescent="0.25">
      <c r="B44" s="74"/>
      <c r="C44" s="75"/>
      <c r="D44" s="76">
        <f>IFERROR(VLOOKUP(B44,Sys!$C$3:$E$4667,3,FALSE),0)</f>
        <v>0</v>
      </c>
      <c r="E44" s="420"/>
      <c r="F44" s="261">
        <f t="shared" si="8"/>
        <v>0</v>
      </c>
      <c r="G44" s="469"/>
      <c r="H44" s="446"/>
      <c r="I44" s="446"/>
      <c r="J44" s="446"/>
      <c r="K44" s="446"/>
      <c r="L44" s="470"/>
    </row>
    <row r="45" spans="2:19" x14ac:dyDescent="0.25">
      <c r="B45" s="74"/>
      <c r="C45" s="75"/>
      <c r="D45" s="76">
        <f>IFERROR(VLOOKUP(B45,Sys!$C$3:$E$4667,3,FALSE),0)</f>
        <v>0</v>
      </c>
      <c r="E45" s="420"/>
      <c r="F45" s="261">
        <f t="shared" ref="F45:F48" si="9">+D45-E45</f>
        <v>0</v>
      </c>
      <c r="G45" s="469"/>
      <c r="H45" s="446"/>
      <c r="I45" s="446"/>
      <c r="J45" s="446"/>
      <c r="K45" s="446"/>
      <c r="L45" s="470"/>
    </row>
    <row r="46" spans="2:19" x14ac:dyDescent="0.25">
      <c r="B46" s="74"/>
      <c r="C46" s="75"/>
      <c r="D46" s="76">
        <f>IFERROR(VLOOKUP(B46,Sys!$C$3:$E$4667,3,FALSE),0)</f>
        <v>0</v>
      </c>
      <c r="E46" s="420"/>
      <c r="F46" s="261">
        <f t="shared" si="9"/>
        <v>0</v>
      </c>
      <c r="G46" s="469"/>
      <c r="H46" s="446"/>
      <c r="I46" s="446"/>
      <c r="J46" s="446"/>
      <c r="K46" s="446"/>
      <c r="L46" s="470"/>
    </row>
    <row r="47" spans="2:19" x14ac:dyDescent="0.25">
      <c r="B47" s="74"/>
      <c r="C47" s="75"/>
      <c r="D47" s="76">
        <f>IFERROR(VLOOKUP(B47,Sys!$C$3:$E$4667,3,FALSE),0)</f>
        <v>0</v>
      </c>
      <c r="E47" s="420"/>
      <c r="F47" s="261">
        <f t="shared" si="9"/>
        <v>0</v>
      </c>
      <c r="G47" s="469"/>
      <c r="H47" s="446"/>
      <c r="I47" s="446"/>
      <c r="J47" s="446"/>
      <c r="K47" s="446"/>
      <c r="L47" s="470"/>
    </row>
    <row r="48" spans="2:19" x14ac:dyDescent="0.25">
      <c r="B48" s="74"/>
      <c r="C48" s="75"/>
      <c r="D48" s="76">
        <f>IFERROR(VLOOKUP(B48,Sys!$C$3:$E$4667,3,FALSE),0)</f>
        <v>0</v>
      </c>
      <c r="E48" s="420"/>
      <c r="F48" s="261">
        <f t="shared" si="9"/>
        <v>0</v>
      </c>
      <c r="G48" s="469"/>
      <c r="H48" s="446"/>
      <c r="I48" s="446"/>
      <c r="J48" s="446"/>
      <c r="K48" s="446"/>
      <c r="L48" s="470"/>
    </row>
    <row r="49" spans="2:17" x14ac:dyDescent="0.25">
      <c r="B49" s="74"/>
      <c r="C49" s="75"/>
      <c r="D49" s="76">
        <f>IFERROR(VLOOKUP(B49,Sys!$C$3:$E$4667,3,FALSE),0)</f>
        <v>0</v>
      </c>
      <c r="E49" s="420"/>
      <c r="F49" s="261">
        <f t="shared" si="8"/>
        <v>0</v>
      </c>
      <c r="G49" s="469"/>
      <c r="H49" s="446"/>
      <c r="I49" s="446"/>
      <c r="J49" s="446"/>
      <c r="K49" s="446"/>
      <c r="L49" s="470"/>
    </row>
    <row r="50" spans="2:17" x14ac:dyDescent="0.25">
      <c r="B50" s="74"/>
      <c r="C50" s="75"/>
      <c r="D50" s="76">
        <f>IFERROR(VLOOKUP(B50,Sys!$C$3:$E$4667,3,FALSE),0)</f>
        <v>0</v>
      </c>
      <c r="E50" s="420"/>
      <c r="F50" s="261">
        <f t="shared" si="8"/>
        <v>0</v>
      </c>
      <c r="G50" s="469"/>
      <c r="H50" s="446"/>
      <c r="I50" s="446"/>
      <c r="J50" s="446"/>
      <c r="K50" s="446"/>
      <c r="L50" s="470"/>
    </row>
    <row r="51" spans="2:17" x14ac:dyDescent="0.25">
      <c r="B51" s="74"/>
      <c r="C51" s="75"/>
      <c r="D51" s="76">
        <f>IFERROR(VLOOKUP(B51,Sys!$C$3:$E$4667,3,FALSE),0)</f>
        <v>0</v>
      </c>
      <c r="E51" s="420"/>
      <c r="F51" s="261">
        <f t="shared" si="8"/>
        <v>0</v>
      </c>
      <c r="G51" s="469"/>
      <c r="H51" s="446"/>
      <c r="I51" s="446"/>
      <c r="J51" s="446"/>
      <c r="K51" s="446"/>
      <c r="L51" s="470"/>
    </row>
    <row r="52" spans="2:17" x14ac:dyDescent="0.25">
      <c r="B52" s="74"/>
      <c r="C52" s="75"/>
      <c r="D52" s="76">
        <f>IFERROR(VLOOKUP(B52,Sys!$C$3:$E$4667,3,FALSE),0)</f>
        <v>0</v>
      </c>
      <c r="E52" s="420"/>
      <c r="F52" s="261">
        <f t="shared" si="8"/>
        <v>0</v>
      </c>
      <c r="G52" s="469"/>
      <c r="H52" s="446"/>
      <c r="I52" s="446"/>
      <c r="J52" s="446"/>
      <c r="K52" s="446"/>
      <c r="L52" s="470"/>
    </row>
    <row r="53" spans="2:17" ht="13.8" thickBot="1" x14ac:dyDescent="0.3">
      <c r="B53" s="74"/>
      <c r="C53" s="75"/>
      <c r="D53" s="76">
        <f>IFERROR(VLOOKUP(B53,Sys!$C$3:$E$4667,3,FALSE),0)</f>
        <v>0</v>
      </c>
      <c r="E53" s="420"/>
      <c r="F53" s="261">
        <f t="shared" si="8"/>
        <v>0</v>
      </c>
      <c r="G53" s="471"/>
      <c r="H53" s="472"/>
      <c r="I53" s="472"/>
      <c r="J53" s="472"/>
      <c r="K53" s="472"/>
      <c r="L53" s="473"/>
    </row>
    <row r="54" spans="2:17" ht="13.8" thickBot="1" x14ac:dyDescent="0.3">
      <c r="B54" s="262"/>
      <c r="C54" s="263"/>
      <c r="D54" s="264">
        <f>SUM(D43:D53)</f>
        <v>0</v>
      </c>
      <c r="E54" s="264">
        <f>SUM(E43:E53)</f>
        <v>0</v>
      </c>
      <c r="F54" s="265" t="e">
        <f>+(+D54-E54)/D54</f>
        <v>#DIV/0!</v>
      </c>
      <c r="G54" s="474"/>
      <c r="H54" s="475"/>
      <c r="I54" s="475"/>
      <c r="J54" s="475"/>
      <c r="K54" s="475"/>
      <c r="L54" s="476"/>
    </row>
    <row r="55" spans="2:17" x14ac:dyDescent="0.25">
      <c r="B55" s="33"/>
      <c r="C55" s="33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34"/>
      <c r="P55" s="72"/>
      <c r="Q55" s="73"/>
    </row>
    <row r="56" spans="2:17" x14ac:dyDescent="0.25">
      <c r="B56" s="33" t="s">
        <v>90</v>
      </c>
      <c r="C56" s="33"/>
      <c r="D56" s="49" t="s">
        <v>91</v>
      </c>
    </row>
    <row r="57" spans="2:17" x14ac:dyDescent="0.25">
      <c r="B57" s="33" t="s">
        <v>92</v>
      </c>
      <c r="C57" s="33"/>
      <c r="D57" s="49" t="s">
        <v>93</v>
      </c>
      <c r="K57" s="32"/>
    </row>
    <row r="58" spans="2:17" x14ac:dyDescent="0.25">
      <c r="B58" s="33" t="s">
        <v>94</v>
      </c>
      <c r="C58" s="33"/>
      <c r="D58" s="49" t="s">
        <v>95</v>
      </c>
      <c r="K58" s="32"/>
    </row>
    <row r="59" spans="2:17" x14ac:dyDescent="0.25">
      <c r="B59" s="33" t="s">
        <v>96</v>
      </c>
      <c r="C59" s="33"/>
      <c r="D59" s="49" t="s">
        <v>97</v>
      </c>
      <c r="K59" s="32"/>
    </row>
    <row r="60" spans="2:17" x14ac:dyDescent="0.25">
      <c r="B60" s="33" t="s">
        <v>98</v>
      </c>
      <c r="C60" s="33"/>
      <c r="D60" s="49" t="s">
        <v>99</v>
      </c>
      <c r="K60" s="32"/>
    </row>
    <row r="61" spans="2:17" x14ac:dyDescent="0.25">
      <c r="B61" s="33" t="s">
        <v>100</v>
      </c>
      <c r="C61" s="33"/>
      <c r="D61" s="49" t="s">
        <v>101</v>
      </c>
      <c r="K61" s="32"/>
    </row>
    <row r="62" spans="2:17" x14ac:dyDescent="0.25">
      <c r="B62" s="33" t="s">
        <v>102</v>
      </c>
      <c r="C62" s="33"/>
      <c r="D62" s="49" t="s">
        <v>103</v>
      </c>
      <c r="K62" s="32"/>
    </row>
    <row r="63" spans="2:17" x14ac:dyDescent="0.25">
      <c r="B63" s="33" t="s">
        <v>104</v>
      </c>
      <c r="C63" s="33"/>
      <c r="D63" s="49" t="s">
        <v>105</v>
      </c>
      <c r="K63" s="32"/>
    </row>
    <row r="64" spans="2:17" x14ac:dyDescent="0.25">
      <c r="B64" s="33" t="s">
        <v>106</v>
      </c>
      <c r="C64" s="33"/>
      <c r="D64" s="49" t="s">
        <v>107</v>
      </c>
    </row>
    <row r="66" spans="2:18" x14ac:dyDescent="0.25">
      <c r="C66" s="8"/>
    </row>
    <row r="67" spans="2:18" x14ac:dyDescent="0.25">
      <c r="B67" s="33"/>
      <c r="C67" s="33"/>
      <c r="D67" s="71"/>
      <c r="E67" s="71"/>
      <c r="F67" s="8" t="e">
        <f>+#REF!</f>
        <v>#REF!</v>
      </c>
      <c r="G67" s="71"/>
      <c r="H67" s="71"/>
      <c r="I67" s="71"/>
      <c r="J67" s="71"/>
      <c r="K67" s="71"/>
      <c r="L67" s="71"/>
      <c r="M67" s="8" t="e">
        <f>+#REF!</f>
        <v>#REF!</v>
      </c>
      <c r="N67" s="71"/>
      <c r="O67" s="71"/>
      <c r="P67" s="34"/>
      <c r="Q67" s="72"/>
      <c r="R67" s="73"/>
    </row>
    <row r="68" spans="2:18" x14ac:dyDescent="0.25">
      <c r="B68" s="33"/>
      <c r="C68" s="33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34"/>
      <c r="Q68" s="72"/>
      <c r="R68" s="73"/>
    </row>
    <row r="69" spans="2:18" x14ac:dyDescent="0.25">
      <c r="B69" s="33"/>
      <c r="C69" s="33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34"/>
      <c r="Q69" s="72"/>
      <c r="R69" s="73"/>
    </row>
    <row r="70" spans="2:18" x14ac:dyDescent="0.25">
      <c r="B70" s="33"/>
      <c r="C70" s="33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34"/>
      <c r="Q70" s="72"/>
      <c r="R70" s="73"/>
    </row>
    <row r="71" spans="2:18" x14ac:dyDescent="0.25">
      <c r="B71" s="33"/>
      <c r="C71" s="33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34"/>
      <c r="Q71" s="72"/>
      <c r="R71" s="73"/>
    </row>
  </sheetData>
  <mergeCells count="19">
    <mergeCell ref="G51:L51"/>
    <mergeCell ref="G52:L52"/>
    <mergeCell ref="G53:L53"/>
    <mergeCell ref="G54:L54"/>
    <mergeCell ref="G42:L42"/>
    <mergeCell ref="G43:L43"/>
    <mergeCell ref="G44:L44"/>
    <mergeCell ref="G49:L49"/>
    <mergeCell ref="G50:L50"/>
    <mergeCell ref="G45:L45"/>
    <mergeCell ref="G46:L46"/>
    <mergeCell ref="G47:L47"/>
    <mergeCell ref="G48:L48"/>
    <mergeCell ref="D2:N2"/>
    <mergeCell ref="D3:N3"/>
    <mergeCell ref="D4:N4"/>
    <mergeCell ref="B6:P6"/>
    <mergeCell ref="B41:D41"/>
    <mergeCell ref="B7:C7"/>
  </mergeCells>
  <phoneticPr fontId="5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3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F1D4-BE47-4832-B02B-C48CC29C38E8}">
  <sheetPr>
    <tabColor theme="8" tint="0.59999389629810485"/>
  </sheetPr>
  <dimension ref="A1:CS54"/>
  <sheetViews>
    <sheetView zoomScale="85" zoomScaleNormal="85" workbookViewId="0">
      <selection activeCell="R2" sqref="R2"/>
    </sheetView>
  </sheetViews>
  <sheetFormatPr baseColWidth="10" defaultColWidth="0" defaultRowHeight="13.2" x14ac:dyDescent="0.25"/>
  <cols>
    <col min="1" max="1" width="4" customWidth="1"/>
    <col min="2" max="2" width="10.88671875" customWidth="1"/>
    <col min="3" max="8" width="0" hidden="1" customWidth="1"/>
    <col min="9" max="9" width="4" customWidth="1"/>
    <col min="10" max="10" width="10.88671875" customWidth="1"/>
    <col min="11" max="16" width="0" hidden="1" customWidth="1"/>
    <col min="17" max="17" width="4" customWidth="1"/>
    <col min="18" max="18" width="10.88671875" customWidth="1"/>
    <col min="19" max="24" width="0" hidden="1" customWidth="1"/>
    <col min="25" max="25" width="4" customWidth="1"/>
    <col min="26" max="26" width="10.88671875" customWidth="1"/>
    <col min="27" max="32" width="0" hidden="1" customWidth="1"/>
    <col min="33" max="33" width="4" customWidth="1"/>
    <col min="34" max="34" width="10.88671875" customWidth="1"/>
    <col min="35" max="40" width="0" hidden="1" customWidth="1"/>
    <col min="41" max="41" width="4" customWidth="1"/>
    <col min="42" max="42" width="10.88671875" customWidth="1"/>
    <col min="43" max="48" width="0" hidden="1" customWidth="1"/>
    <col min="49" max="49" width="4" customWidth="1"/>
    <col min="50" max="50" width="10.88671875" customWidth="1"/>
    <col min="51" max="56" width="0" hidden="1" customWidth="1"/>
    <col min="57" max="57" width="4" customWidth="1"/>
    <col min="58" max="58" width="10.88671875" customWidth="1"/>
    <col min="59" max="64" width="0" hidden="1" customWidth="1"/>
    <col min="65" max="65" width="4" customWidth="1"/>
    <col min="66" max="66" width="10.88671875" customWidth="1"/>
    <col min="67" max="72" width="0" hidden="1" customWidth="1"/>
    <col min="73" max="73" width="4" customWidth="1"/>
    <col min="74" max="74" width="10.88671875" customWidth="1"/>
    <col min="75" max="80" width="0" hidden="1" customWidth="1"/>
    <col min="81" max="81" width="4" customWidth="1"/>
    <col min="82" max="82" width="10.88671875" customWidth="1"/>
    <col min="83" max="88" width="0" hidden="1" customWidth="1"/>
    <col min="89" max="89" width="4" customWidth="1"/>
    <col min="90" max="90" width="10.88671875" customWidth="1"/>
    <col min="91" max="96" width="0" hidden="1" customWidth="1"/>
    <col min="97" max="97" width="10.88671875" customWidth="1"/>
    <col min="98" max="16384" width="10.88671875" hidden="1"/>
  </cols>
  <sheetData>
    <row r="1" spans="2:94" s="336" customFormat="1" x14ac:dyDescent="0.25">
      <c r="B1" s="336">
        <f>MONTH(Títulos!B3)</f>
        <v>1</v>
      </c>
      <c r="J1" s="336">
        <f>IF(B1=12,1,B1+1)</f>
        <v>2</v>
      </c>
      <c r="R1" s="336">
        <f>IF(J1=12,1,J1+1)</f>
        <v>3</v>
      </c>
      <c r="Z1" s="336">
        <f>IF(R1=12,1,R1+1)</f>
        <v>4</v>
      </c>
      <c r="AH1" s="336">
        <f>IF(Z1=12,1,Z1+1)</f>
        <v>5</v>
      </c>
      <c r="AP1" s="336">
        <f>IF(AH1=12,1,AH1+1)</f>
        <v>6</v>
      </c>
      <c r="AX1" s="336">
        <f>IF(AP1=12,1,AP1+1)</f>
        <v>7</v>
      </c>
      <c r="BF1" s="336">
        <f>IF(AX1=12,1,AX1+1)</f>
        <v>8</v>
      </c>
      <c r="BN1" s="336">
        <f>IF(BF1=12,1,BF1+1)</f>
        <v>9</v>
      </c>
      <c r="BV1" s="336">
        <f>IF(BN1=12,1,BN1+1)</f>
        <v>10</v>
      </c>
      <c r="CD1" s="336">
        <f>IF(BV1=12,1,BV1+1)</f>
        <v>11</v>
      </c>
      <c r="CL1" s="336">
        <f>IF(CD1=12,1,CD1+1)</f>
        <v>12</v>
      </c>
    </row>
    <row r="2" spans="2:94" s="336" customFormat="1" ht="52.5" customHeight="1" thickBot="1" x14ac:dyDescent="0.3">
      <c r="B2"/>
      <c r="C2"/>
      <c r="D2"/>
      <c r="E2"/>
      <c r="F2"/>
      <c r="G2"/>
      <c r="H2"/>
      <c r="J2"/>
      <c r="K2"/>
      <c r="L2"/>
      <c r="M2"/>
      <c r="N2"/>
      <c r="O2"/>
      <c r="P2"/>
      <c r="R2"/>
      <c r="S2"/>
      <c r="T2"/>
      <c r="U2"/>
      <c r="V2"/>
      <c r="W2"/>
      <c r="X2"/>
    </row>
    <row r="3" spans="2:94" ht="93.9" customHeight="1" thickBot="1" x14ac:dyDescent="0.3">
      <c r="B3" s="354"/>
      <c r="D3" s="313"/>
      <c r="E3" s="352"/>
      <c r="F3" s="353"/>
      <c r="J3" s="354"/>
      <c r="L3" s="341"/>
      <c r="M3" s="372"/>
      <c r="N3" s="373"/>
      <c r="R3" s="354"/>
      <c r="T3" s="313"/>
      <c r="U3" s="352"/>
      <c r="V3" s="353"/>
      <c r="Z3" s="354"/>
      <c r="AB3" s="313"/>
      <c r="AC3" s="352"/>
      <c r="AD3" s="353"/>
      <c r="AH3" s="354"/>
      <c r="AJ3" s="313"/>
      <c r="AK3" s="352"/>
      <c r="AL3" s="353"/>
      <c r="AP3" s="354"/>
      <c r="AR3" s="313"/>
      <c r="AS3" s="352"/>
      <c r="AT3" s="353"/>
      <c r="AX3" s="354"/>
      <c r="AZ3" s="313"/>
      <c r="BA3" s="352"/>
      <c r="BB3" s="353"/>
      <c r="BF3" s="354"/>
      <c r="BH3" s="313"/>
      <c r="BI3" s="352"/>
      <c r="BJ3" s="353"/>
      <c r="BN3" s="354"/>
      <c r="BP3" s="313"/>
      <c r="BQ3" s="352"/>
      <c r="BR3" s="353"/>
      <c r="BV3" s="354"/>
      <c r="BX3" s="313"/>
      <c r="BY3" s="352"/>
      <c r="BZ3" s="353"/>
      <c r="CD3" s="354"/>
      <c r="CF3" s="313"/>
      <c r="CG3" s="352"/>
      <c r="CH3" s="353"/>
      <c r="CL3" s="354"/>
      <c r="CN3" s="313"/>
      <c r="CO3" s="352"/>
      <c r="CP3" s="353"/>
    </row>
    <row r="4" spans="2:94" ht="52.5" customHeight="1" thickBot="1" x14ac:dyDescent="0.3">
      <c r="B4" s="355"/>
      <c r="C4" s="309"/>
      <c r="D4" s="314"/>
      <c r="E4" s="352"/>
      <c r="F4" s="353"/>
      <c r="J4" s="355"/>
      <c r="K4" s="309"/>
      <c r="L4" s="342"/>
      <c r="M4" s="372"/>
      <c r="N4" s="373"/>
      <c r="R4" s="355"/>
      <c r="S4" s="309"/>
      <c r="T4" s="314"/>
      <c r="U4" s="352"/>
      <c r="V4" s="353"/>
      <c r="Z4" s="355"/>
      <c r="AA4" s="309"/>
      <c r="AB4" s="314"/>
      <c r="AC4" s="352"/>
      <c r="AD4" s="353"/>
      <c r="AH4" s="355"/>
      <c r="AI4" s="309"/>
      <c r="AJ4" s="314"/>
      <c r="AK4" s="352"/>
      <c r="AL4" s="353"/>
      <c r="AP4" s="355"/>
      <c r="AQ4" s="309"/>
      <c r="AR4" s="314"/>
      <c r="AS4" s="352"/>
      <c r="AT4" s="353"/>
      <c r="AX4" s="355"/>
      <c r="AY4" s="309"/>
      <c r="AZ4" s="314"/>
      <c r="BA4" s="352"/>
      <c r="BB4" s="353"/>
      <c r="BF4" s="355"/>
      <c r="BG4" s="309"/>
      <c r="BH4" s="314"/>
      <c r="BI4" s="352"/>
      <c r="BJ4" s="353"/>
      <c r="BN4" s="355"/>
      <c r="BO4" s="309"/>
      <c r="BP4" s="314"/>
      <c r="BQ4" s="352"/>
      <c r="BR4" s="353"/>
      <c r="BV4" s="355"/>
      <c r="BW4" s="309"/>
      <c r="BX4" s="314"/>
      <c r="BY4" s="352"/>
      <c r="BZ4" s="353"/>
      <c r="CD4" s="355"/>
      <c r="CE4" s="309"/>
      <c r="CF4" s="314"/>
      <c r="CG4" s="352"/>
      <c r="CH4" s="353"/>
      <c r="CL4" s="355"/>
      <c r="CM4" s="309"/>
      <c r="CN4" s="314"/>
      <c r="CO4" s="352"/>
      <c r="CP4" s="353"/>
    </row>
    <row r="5" spans="2:94" ht="49.5" customHeight="1" thickBot="1" x14ac:dyDescent="0.3">
      <c r="B5" s="355"/>
      <c r="C5" s="310"/>
      <c r="D5" s="315"/>
      <c r="E5" s="352"/>
      <c r="F5" s="353"/>
      <c r="J5" s="355"/>
      <c r="K5" s="310"/>
      <c r="L5" s="343"/>
      <c r="M5" s="372"/>
      <c r="N5" s="373"/>
      <c r="R5" s="355"/>
      <c r="S5" s="310"/>
      <c r="T5" s="315"/>
      <c r="U5" s="352"/>
      <c r="V5" s="353"/>
      <c r="Z5" s="355"/>
      <c r="AA5" s="310"/>
      <c r="AB5" s="315"/>
      <c r="AC5" s="352"/>
      <c r="AD5" s="353"/>
      <c r="AH5" s="355"/>
      <c r="AI5" s="310"/>
      <c r="AJ5" s="315"/>
      <c r="AK5" s="352"/>
      <c r="AL5" s="353"/>
      <c r="AP5" s="355"/>
      <c r="AQ5" s="310"/>
      <c r="AR5" s="315"/>
      <c r="AS5" s="352"/>
      <c r="AT5" s="353"/>
      <c r="AX5" s="355"/>
      <c r="AY5" s="310"/>
      <c r="AZ5" s="315"/>
      <c r="BA5" s="352"/>
      <c r="BB5" s="353"/>
      <c r="BF5" s="355"/>
      <c r="BG5" s="310"/>
      <c r="BH5" s="315"/>
      <c r="BI5" s="352"/>
      <c r="BJ5" s="353"/>
      <c r="BN5" s="355"/>
      <c r="BO5" s="310"/>
      <c r="BP5" s="315"/>
      <c r="BQ5" s="352"/>
      <c r="BR5" s="353"/>
      <c r="BV5" s="355"/>
      <c r="BW5" s="310"/>
      <c r="BX5" s="315"/>
      <c r="BY5" s="352"/>
      <c r="BZ5" s="353"/>
      <c r="CD5" s="355"/>
      <c r="CE5" s="310"/>
      <c r="CF5" s="315"/>
      <c r="CG5" s="352"/>
      <c r="CH5" s="353"/>
      <c r="CL5" s="355"/>
      <c r="CM5" s="310"/>
      <c r="CN5" s="315"/>
      <c r="CO5" s="352"/>
      <c r="CP5" s="353"/>
    </row>
    <row r="6" spans="2:94" ht="152.4" customHeight="1" thickBot="1" x14ac:dyDescent="0.3">
      <c r="B6" s="355"/>
      <c r="C6" s="311"/>
      <c r="D6" s="352"/>
      <c r="E6" s="353"/>
      <c r="F6" s="316"/>
      <c r="J6" s="355"/>
      <c r="K6" s="311"/>
      <c r="L6" s="372"/>
      <c r="M6" s="373"/>
      <c r="N6" s="344"/>
      <c r="R6" s="355"/>
      <c r="S6" s="311"/>
      <c r="T6" s="352"/>
      <c r="U6" s="353"/>
      <c r="V6" s="316"/>
      <c r="Z6" s="355"/>
      <c r="AA6" s="311"/>
      <c r="AB6" s="352"/>
      <c r="AC6" s="353"/>
      <c r="AD6" s="316"/>
      <c r="AH6" s="355"/>
      <c r="AI6" s="311"/>
      <c r="AJ6" s="352"/>
      <c r="AK6" s="353"/>
      <c r="AL6" s="316"/>
      <c r="AP6" s="355"/>
      <c r="AQ6" s="311"/>
      <c r="AR6" s="352"/>
      <c r="AS6" s="353"/>
      <c r="AT6" s="316"/>
      <c r="AX6" s="355"/>
      <c r="AY6" s="311"/>
      <c r="AZ6" s="352"/>
      <c r="BA6" s="353"/>
      <c r="BB6" s="316"/>
      <c r="BF6" s="355"/>
      <c r="BG6" s="311"/>
      <c r="BH6" s="352"/>
      <c r="BI6" s="353"/>
      <c r="BJ6" s="316"/>
      <c r="BN6" s="355"/>
      <c r="BO6" s="311"/>
      <c r="BP6" s="352"/>
      <c r="BQ6" s="353"/>
      <c r="BR6" s="316"/>
      <c r="BV6" s="355"/>
      <c r="BW6" s="311"/>
      <c r="BX6" s="352"/>
      <c r="BY6" s="353"/>
      <c r="BZ6" s="316"/>
      <c r="CD6" s="355"/>
      <c r="CE6" s="311"/>
      <c r="CF6" s="352"/>
      <c r="CG6" s="353"/>
      <c r="CH6" s="316"/>
      <c r="CL6" s="355"/>
      <c r="CM6" s="311"/>
      <c r="CN6" s="352"/>
      <c r="CO6" s="353"/>
      <c r="CP6" s="316"/>
    </row>
    <row r="7" spans="2:94" ht="64.5" customHeight="1" thickBot="1" x14ac:dyDescent="0.3">
      <c r="B7" s="356"/>
      <c r="C7" s="312"/>
      <c r="D7" s="352"/>
      <c r="E7" s="353"/>
      <c r="F7" s="317"/>
      <c r="J7" s="356"/>
      <c r="K7" s="312"/>
      <c r="L7" s="372"/>
      <c r="M7" s="373"/>
      <c r="N7" s="345"/>
      <c r="R7" s="356"/>
      <c r="S7" s="312"/>
      <c r="T7" s="352"/>
      <c r="U7" s="353"/>
      <c r="V7" s="317"/>
      <c r="Z7" s="356"/>
      <c r="AA7" s="312"/>
      <c r="AB7" s="352"/>
      <c r="AC7" s="353"/>
      <c r="AD7" s="317"/>
      <c r="AH7" s="356"/>
      <c r="AI7" s="312"/>
      <c r="AJ7" s="352"/>
      <c r="AK7" s="353"/>
      <c r="AL7" s="317"/>
      <c r="AP7" s="356"/>
      <c r="AQ7" s="312"/>
      <c r="AR7" s="352"/>
      <c r="AS7" s="353"/>
      <c r="AT7" s="317"/>
      <c r="AX7" s="356"/>
      <c r="AY7" s="312"/>
      <c r="AZ7" s="352"/>
      <c r="BA7" s="353"/>
      <c r="BB7" s="317"/>
      <c r="BF7" s="356"/>
      <c r="BG7" s="312"/>
      <c r="BH7" s="352"/>
      <c r="BI7" s="353"/>
      <c r="BJ7" s="317"/>
      <c r="BN7" s="356"/>
      <c r="BO7" s="312"/>
      <c r="BP7" s="352"/>
      <c r="BQ7" s="353"/>
      <c r="BR7" s="317"/>
      <c r="BV7" s="356"/>
      <c r="BW7" s="312"/>
      <c r="BX7" s="352"/>
      <c r="BY7" s="353"/>
      <c r="BZ7" s="317"/>
      <c r="CD7" s="356"/>
      <c r="CE7" s="312"/>
      <c r="CF7" s="352"/>
      <c r="CG7" s="353"/>
      <c r="CH7" s="317"/>
      <c r="CL7" s="356"/>
      <c r="CM7" s="312"/>
      <c r="CN7" s="352"/>
      <c r="CO7" s="353"/>
      <c r="CP7" s="317"/>
    </row>
    <row r="8" spans="2:94" ht="12.9" customHeight="1" thickBot="1" x14ac:dyDescent="0.3">
      <c r="B8" s="357"/>
      <c r="C8" s="358"/>
      <c r="D8" s="352"/>
      <c r="E8" s="353"/>
      <c r="F8" s="317"/>
      <c r="J8" s="357"/>
      <c r="K8" s="358"/>
      <c r="L8" s="372"/>
      <c r="M8" s="373"/>
      <c r="N8" s="345"/>
      <c r="R8" s="357"/>
      <c r="S8" s="358"/>
      <c r="T8" s="352"/>
      <c r="U8" s="353"/>
      <c r="V8" s="317"/>
      <c r="Z8" s="357"/>
      <c r="AA8" s="358"/>
      <c r="AB8" s="352"/>
      <c r="AC8" s="353"/>
      <c r="AD8" s="317"/>
      <c r="AH8" s="357"/>
      <c r="AI8" s="358"/>
      <c r="AJ8" s="352"/>
      <c r="AK8" s="353"/>
      <c r="AL8" s="317"/>
      <c r="AP8" s="357"/>
      <c r="AQ8" s="358"/>
      <c r="AR8" s="352"/>
      <c r="AS8" s="353"/>
      <c r="AT8" s="317"/>
      <c r="AX8" s="357"/>
      <c r="AY8" s="358"/>
      <c r="AZ8" s="352"/>
      <c r="BA8" s="353"/>
      <c r="BB8" s="317"/>
      <c r="BF8" s="357"/>
      <c r="BG8" s="358"/>
      <c r="BH8" s="352"/>
      <c r="BI8" s="353"/>
      <c r="BJ8" s="317"/>
      <c r="BN8" s="357"/>
      <c r="BO8" s="358"/>
      <c r="BP8" s="352"/>
      <c r="BQ8" s="353"/>
      <c r="BR8" s="317"/>
      <c r="BV8" s="357"/>
      <c r="BW8" s="358"/>
      <c r="BX8" s="352"/>
      <c r="BY8" s="353"/>
      <c r="BZ8" s="317"/>
      <c r="CD8" s="357"/>
      <c r="CE8" s="358"/>
      <c r="CF8" s="352"/>
      <c r="CG8" s="353"/>
      <c r="CH8" s="317"/>
      <c r="CL8" s="357"/>
      <c r="CM8" s="358"/>
      <c r="CN8" s="352"/>
      <c r="CO8" s="353"/>
      <c r="CP8" s="317"/>
    </row>
    <row r="9" spans="2:94" ht="12.9" customHeight="1" thickBot="1" x14ac:dyDescent="0.3">
      <c r="B9" s="321"/>
      <c r="C9" s="359"/>
      <c r="D9" s="352"/>
      <c r="E9" s="353"/>
      <c r="F9" s="317"/>
      <c r="J9" s="321"/>
      <c r="K9" s="359"/>
      <c r="L9" s="372"/>
      <c r="M9" s="373"/>
      <c r="N9" s="345"/>
      <c r="R9" s="321"/>
      <c r="S9" s="359"/>
      <c r="T9" s="352"/>
      <c r="U9" s="353"/>
      <c r="V9" s="317"/>
      <c r="Z9" s="321"/>
      <c r="AA9" s="359"/>
      <c r="AB9" s="352"/>
      <c r="AC9" s="353"/>
      <c r="AD9" s="317"/>
      <c r="AH9" s="321"/>
      <c r="AI9" s="359"/>
      <c r="AJ9" s="352"/>
      <c r="AK9" s="353"/>
      <c r="AL9" s="317"/>
      <c r="AP9" s="321"/>
      <c r="AQ9" s="359"/>
      <c r="AR9" s="352"/>
      <c r="AS9" s="353"/>
      <c r="AT9" s="317"/>
      <c r="AX9" s="321"/>
      <c r="AY9" s="359"/>
      <c r="AZ9" s="352"/>
      <c r="BA9" s="353"/>
      <c r="BB9" s="317"/>
      <c r="BF9" s="321"/>
      <c r="BG9" s="359"/>
      <c r="BH9" s="352"/>
      <c r="BI9" s="353"/>
      <c r="BJ9" s="317"/>
      <c r="BN9" s="321"/>
      <c r="BO9" s="359"/>
      <c r="BP9" s="352"/>
      <c r="BQ9" s="353"/>
      <c r="BR9" s="317"/>
      <c r="BV9" s="321"/>
      <c r="BW9" s="359"/>
      <c r="BX9" s="352"/>
      <c r="BY9" s="353"/>
      <c r="BZ9" s="317"/>
      <c r="CD9" s="321"/>
      <c r="CE9" s="359"/>
      <c r="CF9" s="352"/>
      <c r="CG9" s="353"/>
      <c r="CH9" s="317"/>
      <c r="CL9" s="321"/>
      <c r="CM9" s="359"/>
      <c r="CN9" s="352"/>
      <c r="CO9" s="353"/>
      <c r="CP9" s="317"/>
    </row>
    <row r="10" spans="2:94" ht="12.9" customHeight="1" thickBot="1" x14ac:dyDescent="0.3">
      <c r="B10" s="321"/>
      <c r="C10" s="359"/>
      <c r="D10" s="352"/>
      <c r="E10" s="353"/>
      <c r="F10" s="317"/>
      <c r="J10" s="321"/>
      <c r="K10" s="359"/>
      <c r="L10" s="372"/>
      <c r="M10" s="373"/>
      <c r="N10" s="345"/>
      <c r="R10" s="321"/>
      <c r="S10" s="359"/>
      <c r="T10" s="352"/>
      <c r="U10" s="353"/>
      <c r="V10" s="317"/>
      <c r="Z10" s="321"/>
      <c r="AA10" s="359"/>
      <c r="AB10" s="352"/>
      <c r="AC10" s="353"/>
      <c r="AD10" s="317"/>
      <c r="AH10" s="321"/>
      <c r="AI10" s="359"/>
      <c r="AJ10" s="352"/>
      <c r="AK10" s="353"/>
      <c r="AL10" s="317"/>
      <c r="AP10" s="321"/>
      <c r="AQ10" s="359"/>
      <c r="AR10" s="352"/>
      <c r="AS10" s="353"/>
      <c r="AT10" s="317"/>
      <c r="AX10" s="321"/>
      <c r="AY10" s="359"/>
      <c r="AZ10" s="352"/>
      <c r="BA10" s="353"/>
      <c r="BB10" s="317"/>
      <c r="BF10" s="321"/>
      <c r="BG10" s="359"/>
      <c r="BH10" s="352"/>
      <c r="BI10" s="353"/>
      <c r="BJ10" s="317"/>
      <c r="BN10" s="321"/>
      <c r="BO10" s="359"/>
      <c r="BP10" s="352"/>
      <c r="BQ10" s="353"/>
      <c r="BR10" s="317"/>
      <c r="BV10" s="321"/>
      <c r="BW10" s="359"/>
      <c r="BX10" s="352"/>
      <c r="BY10" s="353"/>
      <c r="BZ10" s="317"/>
      <c r="CD10" s="321"/>
      <c r="CE10" s="359"/>
      <c r="CF10" s="352"/>
      <c r="CG10" s="353"/>
      <c r="CH10" s="317"/>
      <c r="CL10" s="321"/>
      <c r="CM10" s="359"/>
      <c r="CN10" s="352"/>
      <c r="CO10" s="353"/>
      <c r="CP10" s="317"/>
    </row>
    <row r="11" spans="2:94" ht="12.9" customHeight="1" thickBot="1" x14ac:dyDescent="0.3">
      <c r="B11" s="321"/>
      <c r="C11" s="359"/>
      <c r="D11" s="352"/>
      <c r="E11" s="353"/>
      <c r="F11" s="317"/>
      <c r="J11" s="321"/>
      <c r="K11" s="359"/>
      <c r="L11" s="372"/>
      <c r="M11" s="373"/>
      <c r="N11" s="345"/>
      <c r="R11" s="321"/>
      <c r="S11" s="359"/>
      <c r="T11" s="352"/>
      <c r="U11" s="353"/>
      <c r="V11" s="317"/>
      <c r="Z11" s="321"/>
      <c r="AA11" s="359"/>
      <c r="AB11" s="352"/>
      <c r="AC11" s="353"/>
      <c r="AD11" s="317"/>
      <c r="AH11" s="321"/>
      <c r="AI11" s="359"/>
      <c r="AJ11" s="352"/>
      <c r="AK11" s="353"/>
      <c r="AL11" s="317"/>
      <c r="AP11" s="321"/>
      <c r="AQ11" s="359"/>
      <c r="AR11" s="352"/>
      <c r="AS11" s="353"/>
      <c r="AT11" s="317"/>
      <c r="AX11" s="321"/>
      <c r="AY11" s="359"/>
      <c r="AZ11" s="352"/>
      <c r="BA11" s="353"/>
      <c r="BB11" s="317"/>
      <c r="BF11" s="321"/>
      <c r="BG11" s="359"/>
      <c r="BH11" s="352"/>
      <c r="BI11" s="353"/>
      <c r="BJ11" s="317"/>
      <c r="BN11" s="321"/>
      <c r="BO11" s="359"/>
      <c r="BP11" s="352"/>
      <c r="BQ11" s="353"/>
      <c r="BR11" s="317"/>
      <c r="BV11" s="321"/>
      <c r="BW11" s="359"/>
      <c r="BX11" s="352"/>
      <c r="BY11" s="353"/>
      <c r="BZ11" s="317"/>
      <c r="CD11" s="321"/>
      <c r="CE11" s="359"/>
      <c r="CF11" s="352"/>
      <c r="CG11" s="353"/>
      <c r="CH11" s="317"/>
      <c r="CL11" s="321"/>
      <c r="CM11" s="359"/>
      <c r="CN11" s="352"/>
      <c r="CO11" s="353"/>
      <c r="CP11" s="317"/>
    </row>
    <row r="12" spans="2:94" ht="12.9" customHeight="1" thickBot="1" x14ac:dyDescent="0.3">
      <c r="B12" s="321"/>
      <c r="C12" s="359"/>
      <c r="D12" s="352"/>
      <c r="E12" s="353"/>
      <c r="F12" s="316"/>
      <c r="J12" s="321"/>
      <c r="K12" s="359"/>
      <c r="L12" s="372"/>
      <c r="M12" s="373"/>
      <c r="N12" s="344"/>
      <c r="R12" s="321"/>
      <c r="S12" s="359"/>
      <c r="T12" s="352"/>
      <c r="U12" s="353"/>
      <c r="V12" s="316"/>
      <c r="Z12" s="321"/>
      <c r="AA12" s="359"/>
      <c r="AB12" s="352"/>
      <c r="AC12" s="353"/>
      <c r="AD12" s="316"/>
      <c r="AH12" s="321"/>
      <c r="AI12" s="359"/>
      <c r="AJ12" s="352"/>
      <c r="AK12" s="353"/>
      <c r="AL12" s="316"/>
      <c r="AP12" s="321"/>
      <c r="AQ12" s="359"/>
      <c r="AR12" s="352"/>
      <c r="AS12" s="353"/>
      <c r="AT12" s="316"/>
      <c r="AX12" s="321"/>
      <c r="AY12" s="359"/>
      <c r="AZ12" s="352"/>
      <c r="BA12" s="353"/>
      <c r="BB12" s="316"/>
      <c r="BF12" s="321"/>
      <c r="BG12" s="359"/>
      <c r="BH12" s="352"/>
      <c r="BI12" s="353"/>
      <c r="BJ12" s="316"/>
      <c r="BN12" s="321"/>
      <c r="BO12" s="359"/>
      <c r="BP12" s="352"/>
      <c r="BQ12" s="353"/>
      <c r="BR12" s="316"/>
      <c r="BV12" s="321"/>
      <c r="BW12" s="359"/>
      <c r="BX12" s="352"/>
      <c r="BY12" s="353"/>
      <c r="BZ12" s="316"/>
      <c r="CD12" s="321"/>
      <c r="CE12" s="359"/>
      <c r="CF12" s="352"/>
      <c r="CG12" s="353"/>
      <c r="CH12" s="316"/>
      <c r="CL12" s="321"/>
      <c r="CM12" s="359"/>
      <c r="CN12" s="352"/>
      <c r="CO12" s="353"/>
      <c r="CP12" s="316"/>
    </row>
    <row r="13" spans="2:94" ht="13.8" thickBot="1" x14ac:dyDescent="0.3">
      <c r="B13" s="318"/>
      <c r="C13" s="319"/>
      <c r="D13" s="352"/>
      <c r="E13" s="353"/>
      <c r="F13" s="316"/>
      <c r="J13" s="346"/>
      <c r="K13" s="338"/>
      <c r="L13" s="372"/>
      <c r="M13" s="373"/>
      <c r="N13" s="344"/>
      <c r="R13" s="318"/>
      <c r="S13" s="319"/>
      <c r="T13" s="352"/>
      <c r="U13" s="353"/>
      <c r="V13" s="316"/>
      <c r="Z13" s="318"/>
      <c r="AA13" s="319"/>
      <c r="AB13" s="352"/>
      <c r="AC13" s="353"/>
      <c r="AD13" s="316"/>
      <c r="AH13" s="318"/>
      <c r="AI13" s="319"/>
      <c r="AJ13" s="352"/>
      <c r="AK13" s="353"/>
      <c r="AL13" s="316"/>
      <c r="AP13" s="318"/>
      <c r="AQ13" s="319"/>
      <c r="AR13" s="352"/>
      <c r="AS13" s="353"/>
      <c r="AT13" s="316"/>
      <c r="AX13" s="318"/>
      <c r="AY13" s="319"/>
      <c r="AZ13" s="352"/>
      <c r="BA13" s="353"/>
      <c r="BB13" s="316"/>
      <c r="BF13" s="318"/>
      <c r="BG13" s="319"/>
      <c r="BH13" s="352"/>
      <c r="BI13" s="353"/>
      <c r="BJ13" s="316"/>
      <c r="BN13" s="318"/>
      <c r="BO13" s="319"/>
      <c r="BP13" s="352"/>
      <c r="BQ13" s="353"/>
      <c r="BR13" s="316"/>
      <c r="BV13" s="318"/>
      <c r="BW13" s="319"/>
      <c r="BX13" s="352"/>
      <c r="BY13" s="353"/>
      <c r="BZ13" s="316"/>
      <c r="CD13" s="318"/>
      <c r="CE13" s="319"/>
      <c r="CF13" s="352"/>
      <c r="CG13" s="353"/>
      <c r="CH13" s="316"/>
      <c r="CL13" s="318"/>
      <c r="CM13" s="319"/>
      <c r="CN13" s="352"/>
      <c r="CO13" s="353"/>
      <c r="CP13" s="316"/>
    </row>
    <row r="14" spans="2:94" ht="16.5" customHeight="1" thickBot="1" x14ac:dyDescent="0.3">
      <c r="B14" s="318"/>
      <c r="C14" s="319"/>
      <c r="D14" s="352"/>
      <c r="E14" s="353"/>
      <c r="F14" s="317"/>
      <c r="J14" s="346"/>
      <c r="K14" s="338"/>
      <c r="L14" s="372"/>
      <c r="M14" s="373"/>
      <c r="N14" s="345"/>
      <c r="R14" s="318"/>
      <c r="S14" s="319"/>
      <c r="T14" s="352"/>
      <c r="U14" s="353"/>
      <c r="V14" s="317"/>
      <c r="Z14" s="318"/>
      <c r="AA14" s="319"/>
      <c r="AB14" s="352"/>
      <c r="AC14" s="353"/>
      <c r="AD14" s="317"/>
      <c r="AH14" s="318"/>
      <c r="AI14" s="319"/>
      <c r="AJ14" s="352"/>
      <c r="AK14" s="353"/>
      <c r="AL14" s="317"/>
      <c r="AP14" s="318"/>
      <c r="AQ14" s="319"/>
      <c r="AR14" s="352"/>
      <c r="AS14" s="353"/>
      <c r="AT14" s="317"/>
      <c r="AX14" s="318"/>
      <c r="AY14" s="319"/>
      <c r="AZ14" s="352"/>
      <c r="BA14" s="353"/>
      <c r="BB14" s="317"/>
      <c r="BF14" s="318"/>
      <c r="BG14" s="319"/>
      <c r="BH14" s="352"/>
      <c r="BI14" s="353"/>
      <c r="BJ14" s="317"/>
      <c r="BN14" s="318"/>
      <c r="BO14" s="319"/>
      <c r="BP14" s="352"/>
      <c r="BQ14" s="353"/>
      <c r="BR14" s="317"/>
      <c r="BV14" s="318"/>
      <c r="BW14" s="319"/>
      <c r="BX14" s="352"/>
      <c r="BY14" s="353"/>
      <c r="BZ14" s="317"/>
      <c r="CD14" s="318"/>
      <c r="CE14" s="319"/>
      <c r="CF14" s="352"/>
      <c r="CG14" s="353"/>
      <c r="CH14" s="317"/>
      <c r="CL14" s="318"/>
      <c r="CM14" s="319"/>
      <c r="CN14" s="352"/>
      <c r="CO14" s="353"/>
      <c r="CP14" s="317"/>
    </row>
    <row r="15" spans="2:94" ht="12.9" customHeight="1" thickBot="1" x14ac:dyDescent="0.3">
      <c r="B15" s="318"/>
      <c r="C15" s="319"/>
      <c r="D15" s="352"/>
      <c r="E15" s="353"/>
      <c r="F15" s="317"/>
      <c r="J15" s="346"/>
      <c r="K15" s="338"/>
      <c r="L15" s="372"/>
      <c r="M15" s="373"/>
      <c r="N15" s="345"/>
      <c r="R15" s="318"/>
      <c r="S15" s="319"/>
      <c r="T15" s="352"/>
      <c r="U15" s="353"/>
      <c r="V15" s="317"/>
      <c r="Z15" s="318"/>
      <c r="AA15" s="319"/>
      <c r="AB15" s="352"/>
      <c r="AC15" s="353"/>
      <c r="AD15" s="317"/>
      <c r="AH15" s="318"/>
      <c r="AI15" s="319"/>
      <c r="AJ15" s="352"/>
      <c r="AK15" s="353"/>
      <c r="AL15" s="317"/>
      <c r="AP15" s="318"/>
      <c r="AQ15" s="319"/>
      <c r="AR15" s="352"/>
      <c r="AS15" s="353"/>
      <c r="AT15" s="317"/>
      <c r="AX15" s="318"/>
      <c r="AY15" s="319"/>
      <c r="AZ15" s="352"/>
      <c r="BA15" s="353"/>
      <c r="BB15" s="317"/>
      <c r="BF15" s="318"/>
      <c r="BG15" s="319"/>
      <c r="BH15" s="352"/>
      <c r="BI15" s="353"/>
      <c r="BJ15" s="317"/>
      <c r="BN15" s="318"/>
      <c r="BO15" s="319"/>
      <c r="BP15" s="352"/>
      <c r="BQ15" s="353"/>
      <c r="BR15" s="317"/>
      <c r="BV15" s="318"/>
      <c r="BW15" s="319"/>
      <c r="BX15" s="352"/>
      <c r="BY15" s="353"/>
      <c r="BZ15" s="317"/>
      <c r="CD15" s="318"/>
      <c r="CE15" s="319"/>
      <c r="CF15" s="352"/>
      <c r="CG15" s="353"/>
      <c r="CH15" s="317"/>
      <c r="CL15" s="318"/>
      <c r="CM15" s="319"/>
      <c r="CN15" s="352"/>
      <c r="CO15" s="353"/>
      <c r="CP15" s="317"/>
    </row>
    <row r="16" spans="2:94" ht="12.9" customHeight="1" thickBot="1" x14ac:dyDescent="0.3">
      <c r="B16" s="318"/>
      <c r="C16" s="319"/>
      <c r="D16" s="352"/>
      <c r="E16" s="353"/>
      <c r="F16" s="317"/>
      <c r="J16" s="346"/>
      <c r="K16" s="338"/>
      <c r="L16" s="372"/>
      <c r="M16" s="373"/>
      <c r="N16" s="345"/>
      <c r="R16" s="318"/>
      <c r="S16" s="319"/>
      <c r="T16" s="352"/>
      <c r="U16" s="353"/>
      <c r="V16" s="317"/>
      <c r="Z16" s="318"/>
      <c r="AA16" s="319"/>
      <c r="AB16" s="352"/>
      <c r="AC16" s="353"/>
      <c r="AD16" s="317"/>
      <c r="AH16" s="318"/>
      <c r="AI16" s="319"/>
      <c r="AJ16" s="352"/>
      <c r="AK16" s="353"/>
      <c r="AL16" s="317"/>
      <c r="AP16" s="318"/>
      <c r="AQ16" s="319"/>
      <c r="AR16" s="352"/>
      <c r="AS16" s="353"/>
      <c r="AT16" s="317"/>
      <c r="AX16" s="318"/>
      <c r="AY16" s="319"/>
      <c r="AZ16" s="352"/>
      <c r="BA16" s="353"/>
      <c r="BB16" s="317"/>
      <c r="BF16" s="318"/>
      <c r="BG16" s="319"/>
      <c r="BH16" s="352"/>
      <c r="BI16" s="353"/>
      <c r="BJ16" s="317"/>
      <c r="BN16" s="318"/>
      <c r="BO16" s="319"/>
      <c r="BP16" s="352"/>
      <c r="BQ16" s="353"/>
      <c r="BR16" s="317"/>
      <c r="BV16" s="318"/>
      <c r="BW16" s="319"/>
      <c r="BX16" s="352"/>
      <c r="BY16" s="353"/>
      <c r="BZ16" s="317"/>
      <c r="CD16" s="318"/>
      <c r="CE16" s="319"/>
      <c r="CF16" s="352"/>
      <c r="CG16" s="353"/>
      <c r="CH16" s="317"/>
      <c r="CL16" s="318"/>
      <c r="CM16" s="319"/>
      <c r="CN16" s="352"/>
      <c r="CO16" s="353"/>
      <c r="CP16" s="317"/>
    </row>
    <row r="17" spans="2:96" ht="32.1" customHeight="1" x14ac:dyDescent="0.25">
      <c r="B17" s="320"/>
      <c r="C17" s="320"/>
      <c r="D17" s="320"/>
      <c r="E17" s="320"/>
      <c r="F17" s="320"/>
      <c r="J17" s="347"/>
      <c r="K17" s="347"/>
      <c r="L17" s="347"/>
      <c r="M17" s="347"/>
      <c r="N17" s="347"/>
      <c r="R17" s="320"/>
      <c r="S17" s="320"/>
      <c r="T17" s="320"/>
      <c r="U17" s="320"/>
      <c r="V17" s="320"/>
      <c r="Z17" s="368"/>
      <c r="AA17" s="368"/>
      <c r="AB17" s="320"/>
      <c r="AC17" s="320"/>
      <c r="AD17" s="320"/>
      <c r="AH17" s="368"/>
      <c r="AI17" s="368"/>
      <c r="AJ17" s="320"/>
      <c r="AK17" s="320"/>
      <c r="AL17" s="320"/>
      <c r="AP17" s="368"/>
      <c r="AQ17" s="368"/>
      <c r="AR17" s="320"/>
      <c r="AS17" s="320"/>
      <c r="AT17" s="320"/>
      <c r="AX17" s="368"/>
      <c r="AY17" s="368"/>
      <c r="AZ17" s="320"/>
      <c r="BA17" s="320"/>
      <c r="BB17" s="320"/>
      <c r="BF17" s="368"/>
      <c r="BG17" s="368"/>
      <c r="BH17" s="320"/>
      <c r="BI17" s="320"/>
      <c r="BJ17" s="320"/>
      <c r="BN17" s="368"/>
      <c r="BO17" s="368"/>
      <c r="BP17" s="320"/>
      <c r="BQ17" s="320"/>
      <c r="BR17" s="320"/>
      <c r="BV17" s="368"/>
      <c r="BW17" s="368"/>
      <c r="BX17" s="320"/>
      <c r="BY17" s="320"/>
      <c r="BZ17" s="320"/>
      <c r="CD17" s="368"/>
      <c r="CE17" s="368"/>
      <c r="CF17" s="320"/>
      <c r="CG17" s="320"/>
      <c r="CH17" s="320"/>
      <c r="CL17" s="368"/>
      <c r="CM17" s="368"/>
      <c r="CN17" s="320"/>
      <c r="CO17" s="320"/>
      <c r="CP17" s="320"/>
    </row>
    <row r="18" spans="2:96" ht="30" customHeight="1" x14ac:dyDescent="0.25">
      <c r="B18" s="404"/>
      <c r="C18" s="405"/>
      <c r="D18" s="405"/>
      <c r="E18" s="406"/>
      <c r="F18" s="404"/>
      <c r="G18" s="405"/>
      <c r="H18" s="406"/>
      <c r="J18" s="385"/>
      <c r="K18" s="386"/>
      <c r="L18" s="386"/>
      <c r="M18" s="387"/>
      <c r="N18" s="385"/>
      <c r="O18" s="386"/>
      <c r="P18" s="387"/>
      <c r="R18" s="404"/>
      <c r="S18" s="405"/>
      <c r="T18" s="405"/>
      <c r="U18" s="406"/>
      <c r="V18" s="404"/>
      <c r="W18" s="405"/>
      <c r="X18" s="406"/>
      <c r="Z18" s="404"/>
      <c r="AA18" s="405"/>
      <c r="AB18" s="405"/>
      <c r="AC18" s="406"/>
      <c r="AD18" s="404"/>
      <c r="AE18" s="405"/>
      <c r="AF18" s="406"/>
      <c r="AH18" s="404"/>
      <c r="AI18" s="405"/>
      <c r="AJ18" s="405"/>
      <c r="AK18" s="406"/>
      <c r="AL18" s="404"/>
      <c r="AM18" s="405"/>
      <c r="AN18" s="406"/>
      <c r="AP18" s="404"/>
      <c r="AQ18" s="405"/>
      <c r="AR18" s="405"/>
      <c r="AS18" s="406"/>
      <c r="AT18" s="404"/>
      <c r="AU18" s="405"/>
      <c r="AV18" s="406"/>
      <c r="AX18" s="404"/>
      <c r="AY18" s="405"/>
      <c r="AZ18" s="405"/>
      <c r="BA18" s="406"/>
      <c r="BB18" s="404"/>
      <c r="BC18" s="405"/>
      <c r="BD18" s="406"/>
      <c r="BF18" s="404"/>
      <c r="BG18" s="405"/>
      <c r="BH18" s="405"/>
      <c r="BI18" s="406"/>
      <c r="BJ18" s="404"/>
      <c r="BK18" s="405"/>
      <c r="BL18" s="406"/>
      <c r="BN18" s="404"/>
      <c r="BO18" s="405"/>
      <c r="BP18" s="405"/>
      <c r="BQ18" s="406"/>
      <c r="BR18" s="404"/>
      <c r="BS18" s="405"/>
      <c r="BT18" s="406"/>
      <c r="BV18" s="404"/>
      <c r="BW18" s="405"/>
      <c r="BX18" s="405"/>
      <c r="BY18" s="406"/>
      <c r="BZ18" s="404"/>
      <c r="CA18" s="405"/>
      <c r="CB18" s="406"/>
      <c r="CD18" s="404"/>
      <c r="CE18" s="405"/>
      <c r="CF18" s="405"/>
      <c r="CG18" s="406"/>
      <c r="CH18" s="404"/>
      <c r="CI18" s="405"/>
      <c r="CJ18" s="406"/>
      <c r="CL18" s="404"/>
      <c r="CM18" s="405"/>
      <c r="CN18" s="405"/>
      <c r="CO18" s="406"/>
      <c r="CP18" s="404"/>
      <c r="CQ18" s="405"/>
      <c r="CR18" s="406"/>
    </row>
    <row r="19" spans="2:96" x14ac:dyDescent="0.25">
      <c r="B19" s="320"/>
      <c r="C19" s="318"/>
      <c r="D19" s="360"/>
      <c r="E19" s="361"/>
      <c r="F19" s="318"/>
      <c r="G19" s="318"/>
      <c r="H19" s="322"/>
      <c r="J19" s="348"/>
      <c r="K19" s="331"/>
      <c r="L19" s="388"/>
      <c r="M19" s="389"/>
      <c r="N19" s="331"/>
      <c r="O19" s="331"/>
      <c r="P19" s="329"/>
      <c r="R19" s="320"/>
      <c r="S19" s="318"/>
      <c r="T19" s="360"/>
      <c r="U19" s="361"/>
      <c r="V19" s="318"/>
      <c r="W19" s="318"/>
      <c r="X19" s="322"/>
      <c r="Z19" s="320"/>
      <c r="AA19" s="318"/>
      <c r="AB19" s="360"/>
      <c r="AC19" s="361"/>
      <c r="AD19" s="318"/>
      <c r="AE19" s="318"/>
      <c r="AF19" s="322"/>
      <c r="AH19" s="320"/>
      <c r="AI19" s="318"/>
      <c r="AJ19" s="360"/>
      <c r="AK19" s="361"/>
      <c r="AL19" s="318"/>
      <c r="AM19" s="318"/>
      <c r="AN19" s="322"/>
      <c r="AP19" s="320"/>
      <c r="AQ19" s="318"/>
      <c r="AR19" s="360"/>
      <c r="AS19" s="361"/>
      <c r="AT19" s="318"/>
      <c r="AU19" s="318"/>
      <c r="AV19" s="322"/>
      <c r="AX19" s="320"/>
      <c r="AY19" s="318"/>
      <c r="AZ19" s="360"/>
      <c r="BA19" s="361"/>
      <c r="BB19" s="318"/>
      <c r="BC19" s="318"/>
      <c r="BD19" s="322"/>
      <c r="BF19" s="320"/>
      <c r="BG19" s="318"/>
      <c r="BH19" s="360"/>
      <c r="BI19" s="361"/>
      <c r="BJ19" s="318"/>
      <c r="BK19" s="318"/>
      <c r="BL19" s="322"/>
      <c r="BN19" s="320"/>
      <c r="BO19" s="318"/>
      <c r="BP19" s="360"/>
      <c r="BQ19" s="361"/>
      <c r="BR19" s="318"/>
      <c r="BS19" s="318"/>
      <c r="BT19" s="322"/>
      <c r="BV19" s="320"/>
      <c r="BW19" s="318"/>
      <c r="BX19" s="360"/>
      <c r="BY19" s="361"/>
      <c r="BZ19" s="318"/>
      <c r="CA19" s="318"/>
      <c r="CB19" s="322"/>
      <c r="CD19" s="320"/>
      <c r="CE19" s="318"/>
      <c r="CF19" s="360"/>
      <c r="CG19" s="361"/>
      <c r="CH19" s="318"/>
      <c r="CI19" s="318"/>
      <c r="CJ19" s="322"/>
      <c r="CL19" s="320"/>
      <c r="CM19" s="318"/>
      <c r="CN19" s="360"/>
      <c r="CO19" s="361"/>
      <c r="CP19" s="318"/>
      <c r="CQ19" s="318"/>
      <c r="CR19" s="322"/>
    </row>
    <row r="20" spans="2:96" x14ac:dyDescent="0.25">
      <c r="B20" s="320"/>
      <c r="C20" s="318"/>
      <c r="D20" s="320"/>
      <c r="E20" s="362"/>
      <c r="F20" s="318"/>
      <c r="G20" s="318"/>
      <c r="H20" s="323"/>
      <c r="J20" s="348"/>
      <c r="K20" s="331"/>
      <c r="L20" s="348"/>
      <c r="M20" s="390"/>
      <c r="N20" s="331"/>
      <c r="O20" s="331"/>
      <c r="P20" s="328"/>
      <c r="R20" s="320"/>
      <c r="S20" s="318"/>
      <c r="T20" s="320"/>
      <c r="U20" s="362"/>
      <c r="V20" s="318"/>
      <c r="W20" s="318"/>
      <c r="X20" s="323"/>
      <c r="Z20" s="320"/>
      <c r="AA20" s="318"/>
      <c r="AB20" s="320"/>
      <c r="AC20" s="362"/>
      <c r="AD20" s="318"/>
      <c r="AE20" s="318"/>
      <c r="AF20" s="323"/>
      <c r="AH20" s="320"/>
      <c r="AI20" s="318"/>
      <c r="AJ20" s="320"/>
      <c r="AK20" s="362"/>
      <c r="AL20" s="318"/>
      <c r="AM20" s="318"/>
      <c r="AN20" s="323"/>
      <c r="AP20" s="320"/>
      <c r="AQ20" s="318"/>
      <c r="AR20" s="320"/>
      <c r="AS20" s="362"/>
      <c r="AT20" s="318"/>
      <c r="AU20" s="318"/>
      <c r="AV20" s="323"/>
      <c r="AX20" s="320"/>
      <c r="AY20" s="318"/>
      <c r="AZ20" s="320"/>
      <c r="BA20" s="362"/>
      <c r="BB20" s="318"/>
      <c r="BC20" s="318"/>
      <c r="BD20" s="323"/>
      <c r="BF20" s="320"/>
      <c r="BG20" s="318"/>
      <c r="BH20" s="320"/>
      <c r="BI20" s="362"/>
      <c r="BJ20" s="318"/>
      <c r="BK20" s="318"/>
      <c r="BL20" s="323"/>
      <c r="BN20" s="320"/>
      <c r="BO20" s="318"/>
      <c r="BP20" s="320"/>
      <c r="BQ20" s="362"/>
      <c r="BR20" s="318"/>
      <c r="BS20" s="318"/>
      <c r="BT20" s="323"/>
      <c r="BV20" s="320"/>
      <c r="BW20" s="318"/>
      <c r="BX20" s="320"/>
      <c r="BY20" s="362"/>
      <c r="BZ20" s="318"/>
      <c r="CA20" s="318"/>
      <c r="CB20" s="323"/>
      <c r="CD20" s="320"/>
      <c r="CE20" s="318"/>
      <c r="CF20" s="320"/>
      <c r="CG20" s="362"/>
      <c r="CH20" s="318"/>
      <c r="CI20" s="318"/>
      <c r="CJ20" s="323"/>
      <c r="CL20" s="320"/>
      <c r="CM20" s="318"/>
      <c r="CN20" s="320"/>
      <c r="CO20" s="362"/>
      <c r="CP20" s="318"/>
      <c r="CQ20" s="318"/>
      <c r="CR20" s="323"/>
    </row>
    <row r="21" spans="2:96" x14ac:dyDescent="0.25">
      <c r="B21" s="324"/>
      <c r="C21" s="325"/>
      <c r="D21" s="363"/>
      <c r="E21" s="364"/>
      <c r="F21" s="325"/>
      <c r="G21" s="325"/>
      <c r="H21" s="326"/>
      <c r="J21" s="349"/>
      <c r="K21" s="350"/>
      <c r="L21" s="391"/>
      <c r="M21" s="392"/>
      <c r="N21" s="350"/>
      <c r="O21" s="350"/>
      <c r="P21" s="332"/>
      <c r="R21" s="324"/>
      <c r="S21" s="325"/>
      <c r="T21" s="363"/>
      <c r="U21" s="364"/>
      <c r="V21" s="325"/>
      <c r="W21" s="325"/>
      <c r="X21" s="326"/>
      <c r="Z21" s="324"/>
      <c r="AA21" s="325"/>
      <c r="AB21" s="363"/>
      <c r="AC21" s="364"/>
      <c r="AD21" s="325"/>
      <c r="AE21" s="325"/>
      <c r="AF21" s="326"/>
      <c r="AH21" s="324"/>
      <c r="AI21" s="325"/>
      <c r="AJ21" s="363"/>
      <c r="AK21" s="364"/>
      <c r="AL21" s="325"/>
      <c r="AM21" s="325"/>
      <c r="AN21" s="326"/>
      <c r="AP21" s="324"/>
      <c r="AQ21" s="325"/>
      <c r="AR21" s="363"/>
      <c r="AS21" s="364"/>
      <c r="AT21" s="325"/>
      <c r="AU21" s="325"/>
      <c r="AV21" s="326"/>
      <c r="AX21" s="324"/>
      <c r="AY21" s="325"/>
      <c r="AZ21" s="363"/>
      <c r="BA21" s="364"/>
      <c r="BB21" s="325"/>
      <c r="BC21" s="325"/>
      <c r="BD21" s="326"/>
      <c r="BF21" s="324"/>
      <c r="BG21" s="325"/>
      <c r="BH21" s="363"/>
      <c r="BI21" s="364"/>
      <c r="BJ21" s="325"/>
      <c r="BK21" s="325"/>
      <c r="BL21" s="326"/>
      <c r="BN21" s="324"/>
      <c r="BO21" s="325"/>
      <c r="BP21" s="363"/>
      <c r="BQ21" s="364"/>
      <c r="BR21" s="325"/>
      <c r="BS21" s="325"/>
      <c r="BT21" s="326"/>
      <c r="BV21" s="324"/>
      <c r="BW21" s="325"/>
      <c r="BX21" s="363"/>
      <c r="BY21" s="364"/>
      <c r="BZ21" s="325"/>
      <c r="CA21" s="325"/>
      <c r="CB21" s="326"/>
      <c r="CD21" s="324"/>
      <c r="CE21" s="325"/>
      <c r="CF21" s="363"/>
      <c r="CG21" s="364"/>
      <c r="CH21" s="325"/>
      <c r="CI21" s="325"/>
      <c r="CJ21" s="326"/>
      <c r="CL21" s="324"/>
      <c r="CM21" s="325"/>
      <c r="CN21" s="363"/>
      <c r="CO21" s="364"/>
      <c r="CP21" s="325"/>
      <c r="CQ21" s="325"/>
      <c r="CR21" s="326"/>
    </row>
    <row r="22" spans="2:96" x14ac:dyDescent="0.25">
      <c r="B22" s="320"/>
      <c r="C22" s="318"/>
      <c r="D22" s="383"/>
      <c r="E22" s="384"/>
      <c r="F22" s="318"/>
      <c r="G22" s="318"/>
      <c r="H22" s="323"/>
      <c r="J22" s="321"/>
      <c r="K22" s="331"/>
      <c r="L22" s="393"/>
      <c r="M22" s="394"/>
      <c r="N22" s="339"/>
      <c r="O22" s="339"/>
      <c r="P22" s="340"/>
      <c r="R22" s="320"/>
      <c r="S22" s="318"/>
      <c r="T22" s="383"/>
      <c r="U22" s="384"/>
      <c r="V22" s="318"/>
      <c r="W22" s="318"/>
      <c r="X22" s="323"/>
      <c r="Z22" s="320"/>
      <c r="AA22" s="318"/>
      <c r="AB22" s="383"/>
      <c r="AC22" s="384"/>
      <c r="AD22" s="318"/>
      <c r="AE22" s="318"/>
      <c r="AF22" s="323"/>
      <c r="AH22" s="320"/>
      <c r="AI22" s="318"/>
      <c r="AJ22" s="383"/>
      <c r="AK22" s="384"/>
      <c r="AL22" s="318"/>
      <c r="AM22" s="318"/>
      <c r="AN22" s="323"/>
      <c r="AP22" s="320"/>
      <c r="AQ22" s="318"/>
      <c r="AR22" s="383"/>
      <c r="AS22" s="384"/>
      <c r="AT22" s="318"/>
      <c r="AU22" s="318"/>
      <c r="AV22" s="323"/>
      <c r="AX22" s="320"/>
      <c r="AY22" s="318"/>
      <c r="AZ22" s="383"/>
      <c r="BA22" s="384"/>
      <c r="BB22" s="318"/>
      <c r="BC22" s="318"/>
      <c r="BD22" s="323"/>
      <c r="BF22" s="320"/>
      <c r="BG22" s="318"/>
      <c r="BH22" s="383"/>
      <c r="BI22" s="384"/>
      <c r="BJ22" s="318"/>
      <c r="BK22" s="318"/>
      <c r="BL22" s="323"/>
      <c r="BN22" s="320"/>
      <c r="BO22" s="318"/>
      <c r="BP22" s="383"/>
      <c r="BQ22" s="384"/>
      <c r="BR22" s="318"/>
      <c r="BS22" s="318"/>
      <c r="BT22" s="323"/>
      <c r="BV22" s="320"/>
      <c r="BW22" s="318"/>
      <c r="BX22" s="383"/>
      <c r="BY22" s="384"/>
      <c r="BZ22" s="318"/>
      <c r="CA22" s="318"/>
      <c r="CB22" s="323"/>
      <c r="CD22" s="320"/>
      <c r="CE22" s="318"/>
      <c r="CF22" s="383"/>
      <c r="CG22" s="384"/>
      <c r="CH22" s="318"/>
      <c r="CI22" s="318"/>
      <c r="CJ22" s="323"/>
      <c r="CL22" s="320"/>
      <c r="CM22" s="318"/>
      <c r="CN22" s="383"/>
      <c r="CO22" s="384"/>
      <c r="CP22" s="318"/>
      <c r="CQ22" s="318"/>
      <c r="CR22" s="323"/>
    </row>
    <row r="23" spans="2:96" x14ac:dyDescent="0.25">
      <c r="B23" s="320"/>
      <c r="C23" s="318"/>
      <c r="D23" s="320"/>
      <c r="E23" s="362"/>
      <c r="F23" s="318"/>
      <c r="G23" s="318"/>
      <c r="H23" s="322"/>
      <c r="J23" s="348"/>
      <c r="K23" s="331"/>
      <c r="L23" s="348"/>
      <c r="M23" s="390"/>
      <c r="N23" s="331"/>
      <c r="O23" s="331"/>
      <c r="P23" s="329"/>
      <c r="R23" s="320"/>
      <c r="S23" s="318"/>
      <c r="T23" s="320"/>
      <c r="U23" s="362"/>
      <c r="V23" s="318"/>
      <c r="W23" s="318"/>
      <c r="X23" s="322"/>
      <c r="Z23" s="320"/>
      <c r="AA23" s="318"/>
      <c r="AB23" s="320"/>
      <c r="AC23" s="362"/>
      <c r="AD23" s="318"/>
      <c r="AE23" s="318"/>
      <c r="AF23" s="322"/>
      <c r="AH23" s="320"/>
      <c r="AI23" s="318"/>
      <c r="AJ23" s="320"/>
      <c r="AK23" s="362"/>
      <c r="AL23" s="318"/>
      <c r="AM23" s="318"/>
      <c r="AN23" s="322"/>
      <c r="AP23" s="320"/>
      <c r="AQ23" s="318"/>
      <c r="AR23" s="320"/>
      <c r="AS23" s="362"/>
      <c r="AT23" s="318"/>
      <c r="AU23" s="318"/>
      <c r="AV23" s="322"/>
      <c r="AX23" s="320"/>
      <c r="AY23" s="318"/>
      <c r="AZ23" s="320"/>
      <c r="BA23" s="362"/>
      <c r="BB23" s="318"/>
      <c r="BC23" s="318"/>
      <c r="BD23" s="322"/>
      <c r="BF23" s="320"/>
      <c r="BG23" s="318"/>
      <c r="BH23" s="320"/>
      <c r="BI23" s="362"/>
      <c r="BJ23" s="318"/>
      <c r="BK23" s="318"/>
      <c r="BL23" s="322"/>
      <c r="BN23" s="320"/>
      <c r="BO23" s="318"/>
      <c r="BP23" s="320"/>
      <c r="BQ23" s="362"/>
      <c r="BR23" s="318"/>
      <c r="BS23" s="318"/>
      <c r="BT23" s="322"/>
      <c r="BV23" s="320"/>
      <c r="BW23" s="318"/>
      <c r="BX23" s="320"/>
      <c r="BY23" s="362"/>
      <c r="BZ23" s="318"/>
      <c r="CA23" s="318"/>
      <c r="CB23" s="322"/>
      <c r="CD23" s="320"/>
      <c r="CE23" s="318"/>
      <c r="CF23" s="320"/>
      <c r="CG23" s="362"/>
      <c r="CH23" s="318"/>
      <c r="CI23" s="318"/>
      <c r="CJ23" s="322"/>
      <c r="CL23" s="320"/>
      <c r="CM23" s="318"/>
      <c r="CN23" s="320"/>
      <c r="CO23" s="362"/>
      <c r="CP23" s="318"/>
      <c r="CQ23" s="318"/>
      <c r="CR23" s="322"/>
    </row>
    <row r="24" spans="2:96" x14ac:dyDescent="0.25">
      <c r="B24" s="320"/>
      <c r="C24" s="318"/>
      <c r="D24" s="379"/>
      <c r="E24" s="380"/>
      <c r="F24" s="318"/>
      <c r="G24" s="318"/>
      <c r="H24" s="323"/>
      <c r="J24" s="348"/>
      <c r="K24" s="331"/>
      <c r="L24" s="395"/>
      <c r="M24" s="396"/>
      <c r="N24" s="331"/>
      <c r="O24" s="331"/>
      <c r="P24" s="328"/>
      <c r="R24" s="320"/>
      <c r="S24" s="318"/>
      <c r="T24" s="379"/>
      <c r="U24" s="380"/>
      <c r="V24" s="318"/>
      <c r="W24" s="318"/>
      <c r="X24" s="323"/>
      <c r="Z24" s="320"/>
      <c r="AA24" s="318"/>
      <c r="AB24" s="379"/>
      <c r="AC24" s="380"/>
      <c r="AD24" s="318"/>
      <c r="AE24" s="318"/>
      <c r="AF24" s="323"/>
      <c r="AH24" s="320"/>
      <c r="AI24" s="318"/>
      <c r="AJ24" s="379"/>
      <c r="AK24" s="380"/>
      <c r="AL24" s="318"/>
      <c r="AM24" s="318"/>
      <c r="AN24" s="323"/>
      <c r="AP24" s="320"/>
      <c r="AQ24" s="318"/>
      <c r="AR24" s="379"/>
      <c r="AS24" s="380"/>
      <c r="AT24" s="318"/>
      <c r="AU24" s="318"/>
      <c r="AV24" s="323"/>
      <c r="AX24" s="320"/>
      <c r="AY24" s="318"/>
      <c r="AZ24" s="379"/>
      <c r="BA24" s="380"/>
      <c r="BB24" s="318"/>
      <c r="BC24" s="318"/>
      <c r="BD24" s="323"/>
      <c r="BF24" s="320"/>
      <c r="BG24" s="318"/>
      <c r="BH24" s="379"/>
      <c r="BI24" s="380"/>
      <c r="BJ24" s="318"/>
      <c r="BK24" s="318"/>
      <c r="BL24" s="323"/>
      <c r="BN24" s="320"/>
      <c r="BO24" s="318"/>
      <c r="BP24" s="379"/>
      <c r="BQ24" s="380"/>
      <c r="BR24" s="318"/>
      <c r="BS24" s="318"/>
      <c r="BT24" s="323"/>
      <c r="BV24" s="320"/>
      <c r="BW24" s="318"/>
      <c r="BX24" s="379"/>
      <c r="BY24" s="380"/>
      <c r="BZ24" s="318"/>
      <c r="CA24" s="318"/>
      <c r="CB24" s="323"/>
      <c r="CD24" s="320"/>
      <c r="CE24" s="318"/>
      <c r="CF24" s="379"/>
      <c r="CG24" s="380"/>
      <c r="CH24" s="318"/>
      <c r="CI24" s="318"/>
      <c r="CJ24" s="323"/>
      <c r="CL24" s="320"/>
      <c r="CM24" s="318"/>
      <c r="CN24" s="379"/>
      <c r="CO24" s="380"/>
      <c r="CP24" s="318"/>
      <c r="CQ24" s="318"/>
      <c r="CR24" s="323"/>
    </row>
    <row r="25" spans="2:96" x14ac:dyDescent="0.25">
      <c r="B25" s="320"/>
      <c r="C25" s="318"/>
      <c r="D25" s="320"/>
      <c r="E25" s="362"/>
      <c r="F25" s="318"/>
      <c r="G25" s="318"/>
      <c r="H25" s="323"/>
      <c r="J25" s="348"/>
      <c r="K25" s="331"/>
      <c r="L25" s="348"/>
      <c r="M25" s="390"/>
      <c r="N25" s="339"/>
      <c r="O25" s="339"/>
      <c r="P25" s="340"/>
      <c r="R25" s="320"/>
      <c r="S25" s="318"/>
      <c r="T25" s="320"/>
      <c r="U25" s="362"/>
      <c r="V25" s="318"/>
      <c r="W25" s="318"/>
      <c r="X25" s="323"/>
      <c r="Z25" s="320"/>
      <c r="AA25" s="318"/>
      <c r="AB25" s="320"/>
      <c r="AC25" s="362"/>
      <c r="AD25" s="318"/>
      <c r="AE25" s="318"/>
      <c r="AF25" s="323"/>
      <c r="AH25" s="320"/>
      <c r="AI25" s="318"/>
      <c r="AJ25" s="320"/>
      <c r="AK25" s="362"/>
      <c r="AL25" s="318"/>
      <c r="AM25" s="318"/>
      <c r="AN25" s="323"/>
      <c r="AP25" s="320"/>
      <c r="AQ25" s="318"/>
      <c r="AR25" s="320"/>
      <c r="AS25" s="362"/>
      <c r="AT25" s="318"/>
      <c r="AU25" s="318"/>
      <c r="AV25" s="323"/>
      <c r="AX25" s="320"/>
      <c r="AY25" s="318"/>
      <c r="AZ25" s="320"/>
      <c r="BA25" s="362"/>
      <c r="BB25" s="318"/>
      <c r="BC25" s="318"/>
      <c r="BD25" s="323"/>
      <c r="BF25" s="320"/>
      <c r="BG25" s="318"/>
      <c r="BH25" s="320"/>
      <c r="BI25" s="362"/>
      <c r="BJ25" s="318"/>
      <c r="BK25" s="318"/>
      <c r="BL25" s="323"/>
      <c r="BN25" s="320"/>
      <c r="BO25" s="318"/>
      <c r="BP25" s="320"/>
      <c r="BQ25" s="362"/>
      <c r="BR25" s="318"/>
      <c r="BS25" s="318"/>
      <c r="BT25" s="323"/>
      <c r="BV25" s="320"/>
      <c r="BW25" s="318"/>
      <c r="BX25" s="320"/>
      <c r="BY25" s="362"/>
      <c r="BZ25" s="318"/>
      <c r="CA25" s="318"/>
      <c r="CB25" s="323"/>
      <c r="CD25" s="320"/>
      <c r="CE25" s="318"/>
      <c r="CF25" s="320"/>
      <c r="CG25" s="362"/>
      <c r="CH25" s="318"/>
      <c r="CI25" s="318"/>
      <c r="CJ25" s="323"/>
      <c r="CL25" s="320"/>
      <c r="CM25" s="318"/>
      <c r="CN25" s="320"/>
      <c r="CO25" s="362"/>
      <c r="CP25" s="318"/>
      <c r="CQ25" s="318"/>
      <c r="CR25" s="323"/>
    </row>
    <row r="26" spans="2:96" x14ac:dyDescent="0.25">
      <c r="B26" s="320"/>
      <c r="C26" s="318"/>
      <c r="D26" s="320"/>
      <c r="E26" s="362"/>
      <c r="F26" s="318"/>
      <c r="G26" s="318"/>
      <c r="H26" s="322"/>
      <c r="J26" s="348"/>
      <c r="K26" s="331"/>
      <c r="L26" s="348"/>
      <c r="M26" s="390"/>
      <c r="N26" s="339"/>
      <c r="O26" s="331"/>
      <c r="P26" s="329"/>
      <c r="R26" s="320"/>
      <c r="S26" s="318"/>
      <c r="T26" s="320"/>
      <c r="U26" s="362"/>
      <c r="V26" s="318"/>
      <c r="W26" s="318"/>
      <c r="X26" s="322"/>
      <c r="Z26" s="320"/>
      <c r="AA26" s="318"/>
      <c r="AB26" s="379"/>
      <c r="AC26" s="380"/>
      <c r="AD26" s="318"/>
      <c r="AE26" s="318"/>
      <c r="AF26" s="322"/>
      <c r="AH26" s="320"/>
      <c r="AI26" s="318"/>
      <c r="AJ26" s="379"/>
      <c r="AK26" s="380"/>
      <c r="AL26" s="318"/>
      <c r="AM26" s="318"/>
      <c r="AN26" s="322"/>
      <c r="AP26" s="320"/>
      <c r="AQ26" s="318"/>
      <c r="AR26" s="379"/>
      <c r="AS26" s="380"/>
      <c r="AT26" s="318"/>
      <c r="AU26" s="318"/>
      <c r="AV26" s="322"/>
      <c r="AX26" s="320"/>
      <c r="AY26" s="318"/>
      <c r="AZ26" s="379"/>
      <c r="BA26" s="380"/>
      <c r="BB26" s="318"/>
      <c r="BC26" s="318"/>
      <c r="BD26" s="322"/>
      <c r="BF26" s="320"/>
      <c r="BG26" s="318"/>
      <c r="BH26" s="379"/>
      <c r="BI26" s="380"/>
      <c r="BJ26" s="318"/>
      <c r="BK26" s="318"/>
      <c r="BL26" s="322"/>
      <c r="BN26" s="320"/>
      <c r="BO26" s="318"/>
      <c r="BP26" s="379"/>
      <c r="BQ26" s="380"/>
      <c r="BR26" s="318"/>
      <c r="BS26" s="318"/>
      <c r="BT26" s="322"/>
      <c r="BV26" s="320"/>
      <c r="BW26" s="318"/>
      <c r="BX26" s="379"/>
      <c r="BY26" s="380"/>
      <c r="BZ26" s="318"/>
      <c r="CA26" s="318"/>
      <c r="CB26" s="322"/>
      <c r="CD26" s="320"/>
      <c r="CE26" s="318"/>
      <c r="CF26" s="379"/>
      <c r="CG26" s="380"/>
      <c r="CH26" s="318"/>
      <c r="CI26" s="318"/>
      <c r="CJ26" s="322"/>
      <c r="CL26" s="320"/>
      <c r="CM26" s="318"/>
      <c r="CN26" s="379"/>
      <c r="CO26" s="380"/>
      <c r="CP26" s="318"/>
      <c r="CQ26" s="318"/>
      <c r="CR26" s="322"/>
    </row>
    <row r="27" spans="2:96" x14ac:dyDescent="0.25">
      <c r="B27" s="320"/>
      <c r="C27" s="318"/>
      <c r="D27" s="383"/>
      <c r="E27" s="384"/>
      <c r="F27" s="318"/>
      <c r="G27" s="318"/>
      <c r="H27" s="323"/>
      <c r="J27" s="321"/>
      <c r="K27" s="331"/>
      <c r="L27" s="393"/>
      <c r="M27" s="394"/>
      <c r="N27" s="339"/>
      <c r="O27" s="331"/>
      <c r="P27" s="328"/>
      <c r="R27" s="320"/>
      <c r="S27" s="318"/>
      <c r="T27" s="383"/>
      <c r="U27" s="384"/>
      <c r="V27" s="318"/>
      <c r="W27" s="318"/>
      <c r="X27" s="323"/>
      <c r="Z27" s="320"/>
      <c r="AA27" s="318"/>
      <c r="AB27" s="383"/>
      <c r="AC27" s="384"/>
      <c r="AD27" s="318"/>
      <c r="AE27" s="318"/>
      <c r="AF27" s="323"/>
      <c r="AH27" s="320"/>
      <c r="AI27" s="318"/>
      <c r="AJ27" s="383"/>
      <c r="AK27" s="384"/>
      <c r="AL27" s="318"/>
      <c r="AM27" s="318"/>
      <c r="AN27" s="323"/>
      <c r="AP27" s="320"/>
      <c r="AQ27" s="318"/>
      <c r="AR27" s="383"/>
      <c r="AS27" s="384"/>
      <c r="AT27" s="318"/>
      <c r="AU27" s="318"/>
      <c r="AV27" s="323"/>
      <c r="AX27" s="320"/>
      <c r="AY27" s="318"/>
      <c r="AZ27" s="383"/>
      <c r="BA27" s="384"/>
      <c r="BB27" s="318"/>
      <c r="BC27" s="318"/>
      <c r="BD27" s="323"/>
      <c r="BF27" s="320"/>
      <c r="BG27" s="318"/>
      <c r="BH27" s="383"/>
      <c r="BI27" s="384"/>
      <c r="BJ27" s="318"/>
      <c r="BK27" s="318"/>
      <c r="BL27" s="323"/>
      <c r="BN27" s="320"/>
      <c r="BO27" s="318"/>
      <c r="BP27" s="383"/>
      <c r="BQ27" s="384"/>
      <c r="BR27" s="318"/>
      <c r="BS27" s="318"/>
      <c r="BT27" s="323"/>
      <c r="BV27" s="320"/>
      <c r="BW27" s="318"/>
      <c r="BX27" s="383"/>
      <c r="BY27" s="384"/>
      <c r="BZ27" s="318"/>
      <c r="CA27" s="318"/>
      <c r="CB27" s="323"/>
      <c r="CD27" s="320"/>
      <c r="CE27" s="318"/>
      <c r="CF27" s="383"/>
      <c r="CG27" s="384"/>
      <c r="CH27" s="318"/>
      <c r="CI27" s="318"/>
      <c r="CJ27" s="323"/>
      <c r="CL27" s="320"/>
      <c r="CM27" s="318"/>
      <c r="CN27" s="383"/>
      <c r="CO27" s="384"/>
      <c r="CP27" s="318"/>
      <c r="CQ27" s="318"/>
      <c r="CR27" s="323"/>
    </row>
    <row r="28" spans="2:96" x14ac:dyDescent="0.25">
      <c r="B28" s="320"/>
      <c r="C28" s="318"/>
      <c r="D28" s="379"/>
      <c r="E28" s="380"/>
      <c r="F28" s="318"/>
      <c r="G28" s="325"/>
      <c r="H28" s="326"/>
      <c r="J28" s="321"/>
      <c r="K28" s="331"/>
      <c r="L28" s="395"/>
      <c r="M28" s="396"/>
      <c r="N28" s="339"/>
      <c r="O28" s="350"/>
      <c r="P28" s="332"/>
      <c r="R28" s="320"/>
      <c r="S28" s="318"/>
      <c r="T28" s="379"/>
      <c r="U28" s="380"/>
      <c r="V28" s="318"/>
      <c r="W28" s="325"/>
      <c r="X28" s="326"/>
      <c r="Z28" s="320"/>
      <c r="AA28" s="318"/>
      <c r="AB28" s="379"/>
      <c r="AC28" s="380"/>
      <c r="AD28" s="318"/>
      <c r="AE28" s="325"/>
      <c r="AF28" s="326"/>
      <c r="AH28" s="320"/>
      <c r="AI28" s="318"/>
      <c r="AJ28" s="379"/>
      <c r="AK28" s="380"/>
      <c r="AL28" s="318"/>
      <c r="AM28" s="325"/>
      <c r="AN28" s="326"/>
      <c r="AP28" s="320"/>
      <c r="AQ28" s="318"/>
      <c r="AR28" s="379"/>
      <c r="AS28" s="380"/>
      <c r="AT28" s="318"/>
      <c r="AU28" s="325"/>
      <c r="AV28" s="326"/>
      <c r="AX28" s="320"/>
      <c r="AY28" s="318"/>
      <c r="AZ28" s="379"/>
      <c r="BA28" s="380"/>
      <c r="BB28" s="318"/>
      <c r="BC28" s="325"/>
      <c r="BD28" s="326"/>
      <c r="BF28" s="320"/>
      <c r="BG28" s="318"/>
      <c r="BH28" s="379"/>
      <c r="BI28" s="380"/>
      <c r="BJ28" s="318"/>
      <c r="BK28" s="325"/>
      <c r="BL28" s="326"/>
      <c r="BN28" s="320"/>
      <c r="BO28" s="318"/>
      <c r="BP28" s="379"/>
      <c r="BQ28" s="380"/>
      <c r="BR28" s="318"/>
      <c r="BS28" s="325"/>
      <c r="BT28" s="326"/>
      <c r="BV28" s="320"/>
      <c r="BW28" s="318"/>
      <c r="BX28" s="379"/>
      <c r="BY28" s="380"/>
      <c r="BZ28" s="318"/>
      <c r="CA28" s="325"/>
      <c r="CB28" s="326"/>
      <c r="CD28" s="320"/>
      <c r="CE28" s="318"/>
      <c r="CF28" s="379"/>
      <c r="CG28" s="380"/>
      <c r="CH28" s="318"/>
      <c r="CI28" s="325"/>
      <c r="CJ28" s="326"/>
      <c r="CL28" s="320"/>
      <c r="CM28" s="318"/>
      <c r="CN28" s="379"/>
      <c r="CO28" s="380"/>
      <c r="CP28" s="318"/>
      <c r="CQ28" s="325"/>
      <c r="CR28" s="326"/>
    </row>
    <row r="29" spans="2:96" x14ac:dyDescent="0.25">
      <c r="B29" s="320"/>
      <c r="C29" s="318"/>
      <c r="D29" s="320"/>
      <c r="E29" s="362"/>
      <c r="F29" s="318"/>
      <c r="G29" s="318"/>
      <c r="H29" s="323"/>
      <c r="J29" s="321"/>
      <c r="K29" s="331"/>
      <c r="L29" s="348"/>
      <c r="M29" s="390"/>
      <c r="N29" s="339"/>
      <c r="O29" s="339"/>
      <c r="P29" s="340"/>
      <c r="R29" s="320"/>
      <c r="S29" s="318"/>
      <c r="T29" s="320"/>
      <c r="U29" s="362"/>
      <c r="V29" s="318"/>
      <c r="W29" s="318"/>
      <c r="X29" s="323"/>
      <c r="Z29" s="320"/>
      <c r="AA29" s="318"/>
      <c r="AB29" s="320"/>
      <c r="AC29" s="362"/>
      <c r="AD29" s="318"/>
      <c r="AE29" s="318"/>
      <c r="AF29" s="323"/>
      <c r="AH29" s="320"/>
      <c r="AI29" s="318"/>
      <c r="AJ29" s="320"/>
      <c r="AK29" s="362"/>
      <c r="AL29" s="318"/>
      <c r="AM29" s="318"/>
      <c r="AN29" s="323"/>
      <c r="AP29" s="320"/>
      <c r="AQ29" s="318"/>
      <c r="AR29" s="320"/>
      <c r="AS29" s="362"/>
      <c r="AT29" s="318"/>
      <c r="AU29" s="318"/>
      <c r="AV29" s="323"/>
      <c r="AX29" s="320"/>
      <c r="AY29" s="318"/>
      <c r="AZ29" s="320"/>
      <c r="BA29" s="362"/>
      <c r="BB29" s="318"/>
      <c r="BC29" s="318"/>
      <c r="BD29" s="323"/>
      <c r="BF29" s="320"/>
      <c r="BG29" s="318"/>
      <c r="BH29" s="320"/>
      <c r="BI29" s="362"/>
      <c r="BJ29" s="318"/>
      <c r="BK29" s="318"/>
      <c r="BL29" s="323"/>
      <c r="BN29" s="320"/>
      <c r="BO29" s="318"/>
      <c r="BP29" s="320"/>
      <c r="BQ29" s="362"/>
      <c r="BR29" s="318"/>
      <c r="BS29" s="318"/>
      <c r="BT29" s="323"/>
      <c r="BV29" s="320"/>
      <c r="BW29" s="318"/>
      <c r="BX29" s="320"/>
      <c r="BY29" s="362"/>
      <c r="BZ29" s="318"/>
      <c r="CA29" s="318"/>
      <c r="CB29" s="323"/>
      <c r="CD29" s="320"/>
      <c r="CE29" s="318"/>
      <c r="CF29" s="320"/>
      <c r="CG29" s="362"/>
      <c r="CH29" s="318"/>
      <c r="CI29" s="318"/>
      <c r="CJ29" s="323"/>
      <c r="CL29" s="320"/>
      <c r="CM29" s="318"/>
      <c r="CN29" s="320"/>
      <c r="CO29" s="362"/>
      <c r="CP29" s="318"/>
      <c r="CQ29" s="318"/>
      <c r="CR29" s="323"/>
    </row>
    <row r="30" spans="2:96" ht="180" customHeight="1" x14ac:dyDescent="0.25">
      <c r="B30" s="320"/>
      <c r="C30" s="325"/>
      <c r="D30" s="408"/>
      <c r="E30" s="409"/>
      <c r="F30" s="318"/>
      <c r="G30" s="318"/>
      <c r="H30" s="323"/>
      <c r="J30" s="321"/>
      <c r="K30" s="350"/>
      <c r="L30" s="402"/>
      <c r="M30" s="403"/>
      <c r="N30" s="339"/>
      <c r="O30" s="339"/>
      <c r="P30" s="340"/>
      <c r="R30" s="320"/>
      <c r="S30" s="325"/>
      <c r="T30" s="408"/>
      <c r="U30" s="409"/>
      <c r="V30" s="318"/>
      <c r="W30" s="318"/>
      <c r="X30" s="323"/>
      <c r="Z30" s="320"/>
      <c r="AA30" s="325"/>
      <c r="AB30" s="408"/>
      <c r="AC30" s="409"/>
      <c r="AD30" s="318"/>
      <c r="AE30" s="318"/>
      <c r="AF30" s="323"/>
      <c r="AH30" s="320"/>
      <c r="AI30" s="325"/>
      <c r="AJ30" s="408"/>
      <c r="AK30" s="409"/>
      <c r="AL30" s="318"/>
      <c r="AM30" s="318"/>
      <c r="AN30" s="323"/>
      <c r="AP30" s="320"/>
      <c r="AQ30" s="325"/>
      <c r="AR30" s="408"/>
      <c r="AS30" s="409"/>
      <c r="AT30" s="318"/>
      <c r="AU30" s="318"/>
      <c r="AV30" s="323"/>
      <c r="AX30" s="320"/>
      <c r="AY30" s="325"/>
      <c r="AZ30" s="408"/>
      <c r="BA30" s="409"/>
      <c r="BB30" s="318"/>
      <c r="BC30" s="318"/>
      <c r="BD30" s="323"/>
      <c r="BF30" s="320"/>
      <c r="BG30" s="325"/>
      <c r="BH30" s="408"/>
      <c r="BI30" s="409"/>
      <c r="BJ30" s="318"/>
      <c r="BK30" s="318"/>
      <c r="BL30" s="323"/>
      <c r="BN30" s="320"/>
      <c r="BO30" s="325"/>
      <c r="BP30" s="408"/>
      <c r="BQ30" s="409"/>
      <c r="BR30" s="318"/>
      <c r="BS30" s="318"/>
      <c r="BT30" s="323"/>
      <c r="BV30" s="320"/>
      <c r="BW30" s="325"/>
      <c r="BX30" s="408"/>
      <c r="BY30" s="409"/>
      <c r="BZ30" s="318"/>
      <c r="CA30" s="318"/>
      <c r="CB30" s="323"/>
      <c r="CD30" s="320"/>
      <c r="CE30" s="325"/>
      <c r="CF30" s="408"/>
      <c r="CG30" s="409"/>
      <c r="CH30" s="318"/>
      <c r="CI30" s="318"/>
      <c r="CJ30" s="323"/>
      <c r="CL30" s="320"/>
      <c r="CM30" s="325"/>
      <c r="CN30" s="408"/>
      <c r="CO30" s="409"/>
      <c r="CP30" s="318"/>
      <c r="CQ30" s="318"/>
      <c r="CR30" s="323"/>
    </row>
    <row r="31" spans="2:96" ht="12.6" customHeight="1" x14ac:dyDescent="0.25">
      <c r="B31" s="404"/>
      <c r="C31" s="405"/>
      <c r="D31" s="405"/>
      <c r="E31" s="406"/>
      <c r="F31" s="404"/>
      <c r="G31" s="405"/>
      <c r="H31" s="406"/>
      <c r="J31" s="385"/>
      <c r="K31" s="386"/>
      <c r="L31" s="386"/>
      <c r="M31" s="387"/>
      <c r="N31" s="385"/>
      <c r="O31" s="386"/>
      <c r="P31" s="387"/>
      <c r="R31" s="404"/>
      <c r="S31" s="405"/>
      <c r="T31" s="405"/>
      <c r="U31" s="406"/>
      <c r="V31" s="404"/>
      <c r="W31" s="405"/>
      <c r="X31" s="406"/>
      <c r="Z31" s="404"/>
      <c r="AA31" s="405"/>
      <c r="AB31" s="405"/>
      <c r="AC31" s="406"/>
      <c r="AD31" s="404"/>
      <c r="AE31" s="405"/>
      <c r="AF31" s="406"/>
      <c r="AH31" s="404"/>
      <c r="AI31" s="405"/>
      <c r="AJ31" s="405"/>
      <c r="AK31" s="406"/>
      <c r="AL31" s="404"/>
      <c r="AM31" s="405"/>
      <c r="AN31" s="406"/>
      <c r="AP31" s="404"/>
      <c r="AQ31" s="405"/>
      <c r="AR31" s="405"/>
      <c r="AS31" s="406"/>
      <c r="AT31" s="404"/>
      <c r="AU31" s="405"/>
      <c r="AV31" s="406"/>
      <c r="AX31" s="404"/>
      <c r="AY31" s="405"/>
      <c r="AZ31" s="405"/>
      <c r="BA31" s="406"/>
      <c r="BB31" s="404"/>
      <c r="BC31" s="405"/>
      <c r="BD31" s="406"/>
      <c r="BF31" s="404"/>
      <c r="BG31" s="405"/>
      <c r="BH31" s="405"/>
      <c r="BI31" s="406"/>
      <c r="BJ31" s="404"/>
      <c r="BK31" s="405"/>
      <c r="BL31" s="406"/>
      <c r="BN31" s="404"/>
      <c r="BO31" s="405"/>
      <c r="BP31" s="405"/>
      <c r="BQ31" s="406"/>
      <c r="BR31" s="404"/>
      <c r="BS31" s="405"/>
      <c r="BT31" s="406"/>
      <c r="BV31" s="404"/>
      <c r="BW31" s="405"/>
      <c r="BX31" s="405"/>
      <c r="BY31" s="406"/>
      <c r="BZ31" s="404"/>
      <c r="CA31" s="405"/>
      <c r="CB31" s="406"/>
      <c r="CD31" s="404"/>
      <c r="CE31" s="405"/>
      <c r="CF31" s="405"/>
      <c r="CG31" s="406"/>
      <c r="CH31" s="404"/>
      <c r="CI31" s="405"/>
      <c r="CJ31" s="406"/>
      <c r="CL31" s="404"/>
      <c r="CM31" s="405"/>
      <c r="CN31" s="405"/>
      <c r="CO31" s="406"/>
      <c r="CP31" s="404"/>
      <c r="CQ31" s="405"/>
      <c r="CR31" s="406"/>
    </row>
    <row r="32" spans="2:96" x14ac:dyDescent="0.25">
      <c r="B32" s="320"/>
      <c r="C32" s="318"/>
      <c r="D32" s="381"/>
      <c r="E32" s="382"/>
      <c r="F32" s="318"/>
      <c r="G32" s="318"/>
      <c r="H32" s="323"/>
      <c r="J32" s="321"/>
      <c r="K32" s="331"/>
      <c r="L32" s="397"/>
      <c r="M32" s="398"/>
      <c r="N32" s="339"/>
      <c r="O32" s="331"/>
      <c r="P32" s="328"/>
      <c r="R32" s="320"/>
      <c r="S32" s="318"/>
      <c r="T32" s="381"/>
      <c r="U32" s="382"/>
      <c r="V32" s="318"/>
      <c r="W32" s="318"/>
      <c r="X32" s="323"/>
      <c r="Z32" s="320"/>
      <c r="AA32" s="318"/>
      <c r="AB32" s="381"/>
      <c r="AC32" s="382"/>
      <c r="AD32" s="318"/>
      <c r="AE32" s="318"/>
      <c r="AF32" s="323"/>
      <c r="AH32" s="320"/>
      <c r="AI32" s="318"/>
      <c r="AJ32" s="381"/>
      <c r="AK32" s="382"/>
      <c r="AL32" s="318"/>
      <c r="AM32" s="318"/>
      <c r="AN32" s="323"/>
      <c r="AP32" s="320"/>
      <c r="AQ32" s="318"/>
      <c r="AR32" s="381"/>
      <c r="AS32" s="382"/>
      <c r="AT32" s="318"/>
      <c r="AU32" s="318"/>
      <c r="AV32" s="323"/>
      <c r="AX32" s="320"/>
      <c r="AY32" s="318"/>
      <c r="AZ32" s="381"/>
      <c r="BA32" s="382"/>
      <c r="BB32" s="318"/>
      <c r="BC32" s="318"/>
      <c r="BD32" s="323"/>
      <c r="BF32" s="320"/>
      <c r="BG32" s="318"/>
      <c r="BH32" s="381"/>
      <c r="BI32" s="382"/>
      <c r="BJ32" s="318"/>
      <c r="BK32" s="318"/>
      <c r="BL32" s="323"/>
      <c r="BN32" s="320"/>
      <c r="BO32" s="318"/>
      <c r="BP32" s="381"/>
      <c r="BQ32" s="382"/>
      <c r="BR32" s="318"/>
      <c r="BS32" s="318"/>
      <c r="BT32" s="323"/>
      <c r="BV32" s="320"/>
      <c r="BW32" s="318"/>
      <c r="BX32" s="381"/>
      <c r="BY32" s="382"/>
      <c r="BZ32" s="318"/>
      <c r="CA32" s="318"/>
      <c r="CB32" s="323"/>
      <c r="CD32" s="320"/>
      <c r="CE32" s="318"/>
      <c r="CF32" s="381"/>
      <c r="CG32" s="382"/>
      <c r="CH32" s="318"/>
      <c r="CI32" s="318"/>
      <c r="CJ32" s="323"/>
      <c r="CL32" s="320"/>
      <c r="CM32" s="318"/>
      <c r="CN32" s="381"/>
      <c r="CO32" s="382"/>
      <c r="CP32" s="318"/>
      <c r="CQ32" s="318"/>
      <c r="CR32" s="323"/>
    </row>
    <row r="33" spans="2:96" ht="13.8" thickBot="1" x14ac:dyDescent="0.3">
      <c r="B33" s="320"/>
      <c r="C33" s="318"/>
      <c r="D33" s="377"/>
      <c r="E33" s="378"/>
      <c r="F33" s="318"/>
      <c r="G33" s="325"/>
      <c r="H33" s="323"/>
      <c r="J33" s="321"/>
      <c r="K33" s="331"/>
      <c r="L33" s="399"/>
      <c r="M33" s="400"/>
      <c r="N33" s="339"/>
      <c r="O33" s="350"/>
      <c r="P33" s="340"/>
      <c r="R33" s="320"/>
      <c r="S33" s="318"/>
      <c r="T33" s="377"/>
      <c r="U33" s="378"/>
      <c r="V33" s="318"/>
      <c r="W33" s="325"/>
      <c r="X33" s="323"/>
      <c r="Z33" s="320"/>
      <c r="AA33" s="318"/>
      <c r="AB33" s="377"/>
      <c r="AC33" s="378"/>
      <c r="AD33" s="318"/>
      <c r="AE33" s="325"/>
      <c r="AF33" s="323"/>
      <c r="AH33" s="320"/>
      <c r="AI33" s="318"/>
      <c r="AJ33" s="377"/>
      <c r="AK33" s="378"/>
      <c r="AL33" s="318"/>
      <c r="AM33" s="325"/>
      <c r="AN33" s="323"/>
      <c r="AP33" s="320"/>
      <c r="AQ33" s="318"/>
      <c r="AR33" s="377"/>
      <c r="AS33" s="378"/>
      <c r="AT33" s="318"/>
      <c r="AU33" s="325"/>
      <c r="AV33" s="323"/>
      <c r="AX33" s="320"/>
      <c r="AY33" s="318"/>
      <c r="AZ33" s="377"/>
      <c r="BA33" s="378"/>
      <c r="BB33" s="318"/>
      <c r="BC33" s="325"/>
      <c r="BD33" s="323"/>
      <c r="BF33" s="320"/>
      <c r="BG33" s="318"/>
      <c r="BH33" s="377"/>
      <c r="BI33" s="378"/>
      <c r="BJ33" s="318"/>
      <c r="BK33" s="325"/>
      <c r="BL33" s="323"/>
      <c r="BN33" s="320"/>
      <c r="BO33" s="318"/>
      <c r="BP33" s="377"/>
      <c r="BQ33" s="378"/>
      <c r="BR33" s="318"/>
      <c r="BS33" s="325"/>
      <c r="BT33" s="323"/>
      <c r="BV33" s="320"/>
      <c r="BW33" s="318"/>
      <c r="BX33" s="377"/>
      <c r="BY33" s="378"/>
      <c r="BZ33" s="318"/>
      <c r="CA33" s="325"/>
      <c r="CB33" s="323"/>
      <c r="CD33" s="320"/>
      <c r="CE33" s="318"/>
      <c r="CF33" s="377"/>
      <c r="CG33" s="378"/>
      <c r="CH33" s="318"/>
      <c r="CI33" s="325"/>
      <c r="CJ33" s="323"/>
      <c r="CL33" s="320"/>
      <c r="CM33" s="318"/>
      <c r="CN33" s="377"/>
      <c r="CO33" s="378"/>
      <c r="CP33" s="318"/>
      <c r="CQ33" s="325"/>
      <c r="CR33" s="323"/>
    </row>
    <row r="34" spans="2:96" x14ac:dyDescent="0.25">
      <c r="B34" s="320"/>
      <c r="C34" s="318"/>
      <c r="D34" s="337"/>
      <c r="E34" s="374"/>
      <c r="F34" s="318"/>
      <c r="G34" s="325"/>
      <c r="H34" s="323"/>
      <c r="J34" s="321"/>
      <c r="K34" s="331"/>
      <c r="L34" s="351"/>
      <c r="M34" s="401"/>
      <c r="N34" s="339"/>
      <c r="O34" s="350"/>
      <c r="P34" s="328"/>
      <c r="R34" s="320"/>
      <c r="S34" s="318"/>
      <c r="T34" s="337"/>
      <c r="U34" s="374"/>
      <c r="V34" s="318"/>
      <c r="W34" s="325"/>
      <c r="X34" s="323"/>
      <c r="Z34" s="320"/>
      <c r="AA34" s="318"/>
      <c r="AB34" s="337"/>
      <c r="AC34" s="374"/>
      <c r="AD34" s="318"/>
      <c r="AE34" s="325"/>
      <c r="AF34" s="323"/>
      <c r="AH34" s="320"/>
      <c r="AI34" s="318"/>
      <c r="AJ34" s="337"/>
      <c r="AK34" s="374"/>
      <c r="AL34" s="318"/>
      <c r="AM34" s="325"/>
      <c r="AN34" s="323"/>
      <c r="AP34" s="320"/>
      <c r="AQ34" s="318"/>
      <c r="AR34" s="337"/>
      <c r="AS34" s="374"/>
      <c r="AT34" s="318"/>
      <c r="AU34" s="325"/>
      <c r="AV34" s="323"/>
      <c r="AX34" s="320"/>
      <c r="AY34" s="318"/>
      <c r="AZ34" s="337"/>
      <c r="BA34" s="374"/>
      <c r="BB34" s="318"/>
      <c r="BC34" s="325"/>
      <c r="BD34" s="323"/>
      <c r="BF34" s="320"/>
      <c r="BG34" s="318"/>
      <c r="BH34" s="337"/>
      <c r="BI34" s="374"/>
      <c r="BJ34" s="318"/>
      <c r="BK34" s="325"/>
      <c r="BL34" s="323"/>
      <c r="BN34" s="320"/>
      <c r="BO34" s="318"/>
      <c r="BP34" s="337"/>
      <c r="BQ34" s="374"/>
      <c r="BR34" s="318"/>
      <c r="BS34" s="325"/>
      <c r="BT34" s="323"/>
      <c r="BV34" s="320"/>
      <c r="BW34" s="318"/>
      <c r="BX34" s="337"/>
      <c r="BY34" s="374"/>
      <c r="BZ34" s="318"/>
      <c r="CA34" s="325"/>
      <c r="CB34" s="323"/>
      <c r="CD34" s="320"/>
      <c r="CE34" s="318"/>
      <c r="CF34" s="337"/>
      <c r="CG34" s="374"/>
      <c r="CH34" s="318"/>
      <c r="CI34" s="325"/>
      <c r="CJ34" s="323"/>
      <c r="CL34" s="320"/>
      <c r="CM34" s="318"/>
      <c r="CN34" s="337"/>
      <c r="CO34" s="374"/>
      <c r="CP34" s="318"/>
      <c r="CQ34" s="325"/>
      <c r="CR34" s="323"/>
    </row>
    <row r="35" spans="2:96" x14ac:dyDescent="0.25">
      <c r="B35" s="320"/>
      <c r="C35" s="318"/>
      <c r="D35" s="320"/>
      <c r="E35" s="362"/>
      <c r="F35" s="318"/>
      <c r="G35" s="325"/>
      <c r="H35" s="323"/>
      <c r="J35" s="321"/>
      <c r="K35" s="339"/>
      <c r="L35" s="348"/>
      <c r="M35" s="390"/>
      <c r="N35" s="339"/>
      <c r="O35" s="350"/>
      <c r="P35" s="328"/>
      <c r="R35" s="320"/>
      <c r="S35" s="318"/>
      <c r="T35" s="320"/>
      <c r="U35" s="362"/>
      <c r="V35" s="318"/>
      <c r="W35" s="325"/>
      <c r="X35" s="323"/>
      <c r="Z35" s="320"/>
      <c r="AA35" s="318"/>
      <c r="AB35" s="320"/>
      <c r="AC35" s="362"/>
      <c r="AD35" s="318"/>
      <c r="AE35" s="325"/>
      <c r="AF35" s="323"/>
      <c r="AH35" s="320"/>
      <c r="AI35" s="318"/>
      <c r="AJ35" s="320"/>
      <c r="AK35" s="362"/>
      <c r="AL35" s="318"/>
      <c r="AM35" s="325"/>
      <c r="AN35" s="323"/>
      <c r="AP35" s="320"/>
      <c r="AQ35" s="318"/>
      <c r="AR35" s="320"/>
      <c r="AS35" s="362"/>
      <c r="AT35" s="318"/>
      <c r="AU35" s="325"/>
      <c r="AV35" s="323"/>
      <c r="AX35" s="320"/>
      <c r="AY35" s="318"/>
      <c r="AZ35" s="320"/>
      <c r="BA35" s="362"/>
      <c r="BB35" s="318"/>
      <c r="BC35" s="325"/>
      <c r="BD35" s="323"/>
      <c r="BF35" s="320"/>
      <c r="BG35" s="318"/>
      <c r="BH35" s="320"/>
      <c r="BI35" s="362"/>
      <c r="BJ35" s="318"/>
      <c r="BK35" s="325"/>
      <c r="BL35" s="323"/>
      <c r="BN35" s="320"/>
      <c r="BO35" s="318"/>
      <c r="BP35" s="320"/>
      <c r="BQ35" s="362"/>
      <c r="BR35" s="318"/>
      <c r="BS35" s="325"/>
      <c r="BT35" s="323"/>
      <c r="BV35" s="320"/>
      <c r="BW35" s="318"/>
      <c r="BX35" s="320"/>
      <c r="BY35" s="362"/>
      <c r="BZ35" s="318"/>
      <c r="CA35" s="325"/>
      <c r="CB35" s="323"/>
      <c r="CD35" s="320"/>
      <c r="CE35" s="318"/>
      <c r="CF35" s="320"/>
      <c r="CG35" s="362"/>
      <c r="CH35" s="318"/>
      <c r="CI35" s="325"/>
      <c r="CJ35" s="323"/>
      <c r="CL35" s="320"/>
      <c r="CM35" s="318"/>
      <c r="CN35" s="320"/>
      <c r="CO35" s="362"/>
      <c r="CP35" s="318"/>
      <c r="CQ35" s="325"/>
      <c r="CR35" s="323"/>
    </row>
    <row r="36" spans="2:96" x14ac:dyDescent="0.25">
      <c r="B36" s="320"/>
      <c r="C36" s="318"/>
      <c r="D36" s="320"/>
      <c r="E36" s="362"/>
      <c r="F36" s="318"/>
      <c r="G36" s="318"/>
      <c r="H36" s="323"/>
      <c r="J36" s="321"/>
      <c r="K36" s="331"/>
      <c r="L36" s="348"/>
      <c r="M36" s="390"/>
      <c r="N36" s="339"/>
      <c r="O36" s="339"/>
      <c r="P36" s="340"/>
      <c r="R36" s="320"/>
      <c r="S36" s="318"/>
      <c r="T36" s="320"/>
      <c r="U36" s="362"/>
      <c r="V36" s="318"/>
      <c r="W36" s="318"/>
      <c r="X36" s="323"/>
      <c r="Z36" s="320"/>
      <c r="AA36" s="318"/>
      <c r="AB36" s="320"/>
      <c r="AC36" s="362"/>
      <c r="AD36" s="318"/>
      <c r="AE36" s="318"/>
      <c r="AF36" s="323"/>
      <c r="AH36" s="320"/>
      <c r="AI36" s="318"/>
      <c r="AJ36" s="320"/>
      <c r="AK36" s="362"/>
      <c r="AL36" s="318"/>
      <c r="AM36" s="318"/>
      <c r="AN36" s="323"/>
      <c r="AP36" s="320"/>
      <c r="AQ36" s="318"/>
      <c r="AR36" s="320"/>
      <c r="AS36" s="362"/>
      <c r="AT36" s="318"/>
      <c r="AU36" s="318"/>
      <c r="AV36" s="323"/>
      <c r="AX36" s="320"/>
      <c r="AY36" s="318"/>
      <c r="AZ36" s="320"/>
      <c r="BA36" s="362"/>
      <c r="BB36" s="318"/>
      <c r="BC36" s="318"/>
      <c r="BD36" s="323"/>
      <c r="BF36" s="320"/>
      <c r="BG36" s="318"/>
      <c r="BH36" s="320"/>
      <c r="BI36" s="362"/>
      <c r="BJ36" s="318"/>
      <c r="BK36" s="318"/>
      <c r="BL36" s="323"/>
      <c r="BN36" s="320"/>
      <c r="BO36" s="318"/>
      <c r="BP36" s="320"/>
      <c r="BQ36" s="362"/>
      <c r="BR36" s="318"/>
      <c r="BS36" s="318"/>
      <c r="BT36" s="323"/>
      <c r="BV36" s="320"/>
      <c r="BW36" s="318"/>
      <c r="BX36" s="320"/>
      <c r="BY36" s="362"/>
      <c r="BZ36" s="318"/>
      <c r="CA36" s="318"/>
      <c r="CB36" s="323"/>
      <c r="CD36" s="320"/>
      <c r="CE36" s="318"/>
      <c r="CF36" s="320"/>
      <c r="CG36" s="362"/>
      <c r="CH36" s="318"/>
      <c r="CI36" s="318"/>
      <c r="CJ36" s="323"/>
      <c r="CL36" s="320"/>
      <c r="CM36" s="318"/>
      <c r="CN36" s="320"/>
      <c r="CO36" s="362"/>
      <c r="CP36" s="318"/>
      <c r="CQ36" s="318"/>
      <c r="CR36" s="323"/>
    </row>
    <row r="37" spans="2:96" ht="13.8" thickBot="1" x14ac:dyDescent="0.3">
      <c r="B37" s="320"/>
      <c r="C37" s="318"/>
      <c r="D37" s="377"/>
      <c r="E37" s="378"/>
      <c r="F37" s="404"/>
      <c r="G37" s="405"/>
      <c r="H37" s="406"/>
      <c r="J37" s="321"/>
      <c r="K37" s="331"/>
      <c r="L37" s="399"/>
      <c r="M37" s="400"/>
      <c r="N37" s="385"/>
      <c r="O37" s="386"/>
      <c r="P37" s="387"/>
      <c r="R37" s="320"/>
      <c r="S37" s="318"/>
      <c r="T37" s="377"/>
      <c r="U37" s="378"/>
      <c r="V37" s="404"/>
      <c r="W37" s="405"/>
      <c r="X37" s="406"/>
      <c r="Z37" s="320"/>
      <c r="AA37" s="318"/>
      <c r="AB37" s="377"/>
      <c r="AC37" s="378"/>
      <c r="AD37" s="404"/>
      <c r="AE37" s="405"/>
      <c r="AF37" s="406"/>
      <c r="AH37" s="320"/>
      <c r="AI37" s="318"/>
      <c r="AJ37" s="377"/>
      <c r="AK37" s="378"/>
      <c r="AL37" s="404"/>
      <c r="AM37" s="405"/>
      <c r="AN37" s="406"/>
      <c r="AP37" s="320"/>
      <c r="AQ37" s="318"/>
      <c r="AR37" s="377"/>
      <c r="AS37" s="378"/>
      <c r="AT37" s="404"/>
      <c r="AU37" s="405"/>
      <c r="AV37" s="406"/>
      <c r="AX37" s="320"/>
      <c r="AY37" s="318"/>
      <c r="AZ37" s="377"/>
      <c r="BA37" s="378"/>
      <c r="BB37" s="404"/>
      <c r="BC37" s="405"/>
      <c r="BD37" s="406"/>
      <c r="BF37" s="320"/>
      <c r="BG37" s="318"/>
      <c r="BH37" s="377"/>
      <c r="BI37" s="378"/>
      <c r="BJ37" s="404"/>
      <c r="BK37" s="405"/>
      <c r="BL37" s="406"/>
      <c r="BN37" s="320"/>
      <c r="BO37" s="318"/>
      <c r="BP37" s="377"/>
      <c r="BQ37" s="378"/>
      <c r="BR37" s="404"/>
      <c r="BS37" s="405"/>
      <c r="BT37" s="406"/>
      <c r="BV37" s="320"/>
      <c r="BW37" s="318"/>
      <c r="BX37" s="377"/>
      <c r="BY37" s="378"/>
      <c r="BZ37" s="404"/>
      <c r="CA37" s="405"/>
      <c r="CB37" s="406"/>
      <c r="CD37" s="320"/>
      <c r="CE37" s="318"/>
      <c r="CF37" s="377"/>
      <c r="CG37" s="378"/>
      <c r="CH37" s="404"/>
      <c r="CI37" s="405"/>
      <c r="CJ37" s="406"/>
      <c r="CL37" s="320"/>
      <c r="CM37" s="318"/>
      <c r="CN37" s="377"/>
      <c r="CO37" s="378"/>
      <c r="CP37" s="404"/>
      <c r="CQ37" s="405"/>
      <c r="CR37" s="406"/>
    </row>
    <row r="38" spans="2:96" x14ac:dyDescent="0.25">
      <c r="B38" s="320"/>
      <c r="C38" s="318"/>
      <c r="D38" s="337"/>
      <c r="E38" s="374"/>
      <c r="F38" s="318"/>
      <c r="G38" s="325"/>
      <c r="H38" s="327"/>
      <c r="J38" s="321"/>
      <c r="K38" s="331"/>
      <c r="L38" s="351"/>
      <c r="M38" s="401"/>
      <c r="N38" s="339"/>
      <c r="O38" s="350"/>
      <c r="P38" s="333"/>
      <c r="R38" s="320"/>
      <c r="S38" s="318"/>
      <c r="T38" s="337"/>
      <c r="U38" s="374"/>
      <c r="V38" s="318"/>
      <c r="W38" s="325"/>
      <c r="X38" s="327"/>
      <c r="Z38" s="320"/>
      <c r="AA38" s="318"/>
      <c r="AB38" s="337"/>
      <c r="AC38" s="374"/>
      <c r="AD38" s="318"/>
      <c r="AE38" s="325"/>
      <c r="AF38" s="327"/>
      <c r="AH38" s="320"/>
      <c r="AI38" s="318"/>
      <c r="AJ38" s="337"/>
      <c r="AK38" s="374"/>
      <c r="AL38" s="318"/>
      <c r="AM38" s="325"/>
      <c r="AN38" s="327"/>
      <c r="AP38" s="320"/>
      <c r="AQ38" s="318"/>
      <c r="AR38" s="337"/>
      <c r="AS38" s="374"/>
      <c r="AT38" s="318"/>
      <c r="AU38" s="325"/>
      <c r="AV38" s="327"/>
      <c r="AX38" s="320"/>
      <c r="AY38" s="318"/>
      <c r="AZ38" s="337"/>
      <c r="BA38" s="374"/>
      <c r="BB38" s="318"/>
      <c r="BC38" s="325"/>
      <c r="BD38" s="327"/>
      <c r="BF38" s="320"/>
      <c r="BG38" s="318"/>
      <c r="BH38" s="337"/>
      <c r="BI38" s="374"/>
      <c r="BJ38" s="318"/>
      <c r="BK38" s="325"/>
      <c r="BL38" s="327"/>
      <c r="BN38" s="320"/>
      <c r="BO38" s="318"/>
      <c r="BP38" s="337"/>
      <c r="BQ38" s="374"/>
      <c r="BR38" s="318"/>
      <c r="BS38" s="325"/>
      <c r="BT38" s="327"/>
      <c r="BV38" s="320"/>
      <c r="BW38" s="318"/>
      <c r="BX38" s="337"/>
      <c r="BY38" s="374"/>
      <c r="BZ38" s="318"/>
      <c r="CA38" s="325"/>
      <c r="CB38" s="327"/>
      <c r="CD38" s="320"/>
      <c r="CE38" s="318"/>
      <c r="CF38" s="337"/>
      <c r="CG38" s="374"/>
      <c r="CH38" s="318"/>
      <c r="CI38" s="325"/>
      <c r="CJ38" s="327"/>
      <c r="CL38" s="320"/>
      <c r="CM38" s="318"/>
      <c r="CN38" s="337"/>
      <c r="CO38" s="374"/>
      <c r="CP38" s="318"/>
      <c r="CQ38" s="325"/>
      <c r="CR38" s="327"/>
    </row>
    <row r="39" spans="2:96" x14ac:dyDescent="0.25">
      <c r="B39" s="320"/>
      <c r="C39" s="318"/>
      <c r="D39" s="320"/>
      <c r="E39" s="362"/>
      <c r="F39" s="318"/>
      <c r="G39" s="325"/>
      <c r="H39" s="327"/>
      <c r="J39" s="321"/>
      <c r="K39" s="339"/>
      <c r="L39" s="348"/>
      <c r="M39" s="390"/>
      <c r="N39" s="339"/>
      <c r="O39" s="350"/>
      <c r="P39" s="333"/>
      <c r="R39" s="320"/>
      <c r="S39" s="318"/>
      <c r="T39" s="320"/>
      <c r="U39" s="362"/>
      <c r="V39" s="318"/>
      <c r="W39" s="325"/>
      <c r="X39" s="327"/>
      <c r="Z39" s="320"/>
      <c r="AA39" s="318"/>
      <c r="AB39" s="320"/>
      <c r="AC39" s="362"/>
      <c r="AD39" s="318"/>
      <c r="AE39" s="325"/>
      <c r="AF39" s="327"/>
      <c r="AH39" s="320"/>
      <c r="AI39" s="318"/>
      <c r="AJ39" s="320"/>
      <c r="AK39" s="362"/>
      <c r="AL39" s="318"/>
      <c r="AM39" s="325"/>
      <c r="AN39" s="327"/>
      <c r="AP39" s="320"/>
      <c r="AQ39" s="318"/>
      <c r="AR39" s="320"/>
      <c r="AS39" s="362"/>
      <c r="AT39" s="318"/>
      <c r="AU39" s="325"/>
      <c r="AV39" s="327"/>
      <c r="AX39" s="320"/>
      <c r="AY39" s="318"/>
      <c r="AZ39" s="320"/>
      <c r="BA39" s="362"/>
      <c r="BB39" s="318"/>
      <c r="BC39" s="325"/>
      <c r="BD39" s="327"/>
      <c r="BF39" s="320"/>
      <c r="BG39" s="318"/>
      <c r="BH39" s="320"/>
      <c r="BI39" s="362"/>
      <c r="BJ39" s="318"/>
      <c r="BK39" s="325"/>
      <c r="BL39" s="327"/>
      <c r="BN39" s="320"/>
      <c r="BO39" s="318"/>
      <c r="BP39" s="320"/>
      <c r="BQ39" s="362"/>
      <c r="BR39" s="318"/>
      <c r="BS39" s="325"/>
      <c r="BT39" s="327"/>
      <c r="BV39" s="320"/>
      <c r="BW39" s="318"/>
      <c r="BX39" s="320"/>
      <c r="BY39" s="362"/>
      <c r="BZ39" s="318"/>
      <c r="CA39" s="325"/>
      <c r="CB39" s="327"/>
      <c r="CD39" s="320"/>
      <c r="CE39" s="318"/>
      <c r="CF39" s="320"/>
      <c r="CG39" s="362"/>
      <c r="CH39" s="318"/>
      <c r="CI39" s="325"/>
      <c r="CJ39" s="327"/>
      <c r="CL39" s="320"/>
      <c r="CM39" s="318"/>
      <c r="CN39" s="320"/>
      <c r="CO39" s="362"/>
      <c r="CP39" s="318"/>
      <c r="CQ39" s="325"/>
      <c r="CR39" s="327"/>
    </row>
    <row r="40" spans="2:96" ht="12.6" customHeight="1" x14ac:dyDescent="0.25">
      <c r="B40" s="320"/>
      <c r="C40" s="320"/>
      <c r="D40" s="368"/>
      <c r="E40" s="407"/>
      <c r="F40" s="318"/>
      <c r="G40" s="318"/>
      <c r="H40" s="323"/>
      <c r="J40" s="321"/>
      <c r="K40" s="321"/>
      <c r="L40" s="415"/>
      <c r="M40" s="419"/>
      <c r="N40" s="339"/>
      <c r="O40" s="339"/>
      <c r="P40" s="340"/>
      <c r="R40" s="320"/>
      <c r="S40" s="320"/>
      <c r="T40" s="368"/>
      <c r="U40" s="407"/>
      <c r="V40" s="318"/>
      <c r="W40" s="318"/>
      <c r="X40" s="323"/>
      <c r="Z40" s="320"/>
      <c r="AA40" s="320"/>
      <c r="AB40" s="368"/>
      <c r="AC40" s="407"/>
      <c r="AD40" s="318"/>
      <c r="AE40" s="318"/>
      <c r="AF40" s="323"/>
      <c r="AH40" s="320"/>
      <c r="AI40" s="320"/>
      <c r="AJ40" s="368"/>
      <c r="AK40" s="407"/>
      <c r="AL40" s="318"/>
      <c r="AM40" s="318"/>
      <c r="AN40" s="323"/>
      <c r="AP40" s="320"/>
      <c r="AQ40" s="320"/>
      <c r="AR40" s="368"/>
      <c r="AS40" s="407"/>
      <c r="AT40" s="318"/>
      <c r="AU40" s="318"/>
      <c r="AV40" s="323"/>
      <c r="AX40" s="320"/>
      <c r="AY40" s="320"/>
      <c r="AZ40" s="368"/>
      <c r="BA40" s="407"/>
      <c r="BB40" s="318"/>
      <c r="BC40" s="318"/>
      <c r="BD40" s="323"/>
      <c r="BF40" s="320"/>
      <c r="BG40" s="320"/>
      <c r="BH40" s="368"/>
      <c r="BI40" s="407"/>
      <c r="BJ40" s="318"/>
      <c r="BK40" s="318"/>
      <c r="BL40" s="323"/>
      <c r="BN40" s="320"/>
      <c r="BO40" s="320"/>
      <c r="BP40" s="368"/>
      <c r="BQ40" s="407"/>
      <c r="BR40" s="318"/>
      <c r="BS40" s="318"/>
      <c r="BT40" s="323"/>
      <c r="BV40" s="320"/>
      <c r="BW40" s="320"/>
      <c r="BX40" s="368"/>
      <c r="BY40" s="407"/>
      <c r="BZ40" s="318"/>
      <c r="CA40" s="318"/>
      <c r="CB40" s="323"/>
      <c r="CD40" s="320"/>
      <c r="CE40" s="320"/>
      <c r="CF40" s="368"/>
      <c r="CG40" s="407"/>
      <c r="CH40" s="318"/>
      <c r="CI40" s="318"/>
      <c r="CJ40" s="323"/>
      <c r="CL40" s="320"/>
      <c r="CM40" s="320"/>
      <c r="CN40" s="368"/>
      <c r="CO40" s="407"/>
      <c r="CP40" s="318"/>
      <c r="CQ40" s="318"/>
      <c r="CR40" s="323"/>
    </row>
    <row r="41" spans="2:96" ht="22.5" customHeight="1" x14ac:dyDescent="0.25">
      <c r="B41" s="404"/>
      <c r="C41" s="405"/>
      <c r="D41" s="405"/>
      <c r="E41" s="406"/>
      <c r="F41" s="404"/>
      <c r="G41" s="405"/>
      <c r="H41" s="406"/>
      <c r="J41" s="385"/>
      <c r="K41" s="386"/>
      <c r="L41" s="386"/>
      <c r="M41" s="387"/>
      <c r="N41" s="385"/>
      <c r="O41" s="386"/>
      <c r="P41" s="387"/>
      <c r="R41" s="404"/>
      <c r="S41" s="405"/>
      <c r="T41" s="405"/>
      <c r="U41" s="406"/>
      <c r="V41" s="404"/>
      <c r="W41" s="405"/>
      <c r="X41" s="406"/>
      <c r="Z41" s="404"/>
      <c r="AA41" s="405"/>
      <c r="AB41" s="405"/>
      <c r="AC41" s="406"/>
      <c r="AD41" s="404"/>
      <c r="AE41" s="405"/>
      <c r="AF41" s="406"/>
      <c r="AH41" s="404"/>
      <c r="AI41" s="405"/>
      <c r="AJ41" s="405"/>
      <c r="AK41" s="406"/>
      <c r="AL41" s="404"/>
      <c r="AM41" s="405"/>
      <c r="AN41" s="406"/>
      <c r="AP41" s="404"/>
      <c r="AQ41" s="405"/>
      <c r="AR41" s="405"/>
      <c r="AS41" s="406"/>
      <c r="AT41" s="404"/>
      <c r="AU41" s="405"/>
      <c r="AV41" s="406"/>
      <c r="AX41" s="404"/>
      <c r="AY41" s="405"/>
      <c r="AZ41" s="405"/>
      <c r="BA41" s="406"/>
      <c r="BB41" s="404"/>
      <c r="BC41" s="405"/>
      <c r="BD41" s="406"/>
      <c r="BF41" s="404"/>
      <c r="BG41" s="405"/>
      <c r="BH41" s="405"/>
      <c r="BI41" s="406"/>
      <c r="BJ41" s="404"/>
      <c r="BK41" s="405"/>
      <c r="BL41" s="406"/>
      <c r="BN41" s="404"/>
      <c r="BO41" s="405"/>
      <c r="BP41" s="405"/>
      <c r="BQ41" s="406"/>
      <c r="BR41" s="404"/>
      <c r="BS41" s="405"/>
      <c r="BT41" s="406"/>
      <c r="BV41" s="404"/>
      <c r="BW41" s="405"/>
      <c r="BX41" s="405"/>
      <c r="BY41" s="406"/>
      <c r="BZ41" s="404"/>
      <c r="CA41" s="405"/>
      <c r="CB41" s="406"/>
      <c r="CD41" s="404"/>
      <c r="CE41" s="405"/>
      <c r="CF41" s="405"/>
      <c r="CG41" s="406"/>
      <c r="CH41" s="404"/>
      <c r="CI41" s="405"/>
      <c r="CJ41" s="406"/>
      <c r="CL41" s="404"/>
      <c r="CM41" s="405"/>
      <c r="CN41" s="405"/>
      <c r="CO41" s="406"/>
      <c r="CP41" s="404"/>
      <c r="CQ41" s="405"/>
      <c r="CR41" s="406"/>
    </row>
    <row r="42" spans="2:96" ht="12.6" customHeight="1" x14ac:dyDescent="0.25">
      <c r="B42" s="320"/>
      <c r="C42" s="318"/>
      <c r="D42" s="328"/>
      <c r="E42" s="330"/>
      <c r="F42" s="318"/>
      <c r="G42" s="318"/>
      <c r="H42" s="323"/>
      <c r="J42" s="321"/>
      <c r="K42" s="331"/>
      <c r="L42" s="328"/>
      <c r="M42" s="330"/>
      <c r="N42" s="339"/>
      <c r="O42" s="331"/>
      <c r="P42" s="328"/>
      <c r="R42" s="320"/>
      <c r="S42" s="318"/>
      <c r="T42" s="328"/>
      <c r="U42" s="330"/>
      <c r="V42" s="318"/>
      <c r="W42" s="318"/>
      <c r="X42" s="323"/>
      <c r="Z42" s="320"/>
      <c r="AA42" s="318"/>
      <c r="AB42" s="328"/>
      <c r="AC42" s="330"/>
      <c r="AD42" s="318"/>
      <c r="AE42" s="318"/>
      <c r="AF42" s="323"/>
      <c r="AH42" s="320"/>
      <c r="AI42" s="318"/>
      <c r="AJ42" s="328"/>
      <c r="AK42" s="330"/>
      <c r="AL42" s="318"/>
      <c r="AM42" s="318"/>
      <c r="AN42" s="323"/>
      <c r="AP42" s="320"/>
      <c r="AQ42" s="318"/>
      <c r="AR42" s="328"/>
      <c r="AS42" s="330"/>
      <c r="AT42" s="318"/>
      <c r="AU42" s="318"/>
      <c r="AV42" s="323"/>
      <c r="AX42" s="320"/>
      <c r="AY42" s="318"/>
      <c r="AZ42" s="328"/>
      <c r="BA42" s="330"/>
      <c r="BB42" s="318"/>
      <c r="BC42" s="318"/>
      <c r="BD42" s="323"/>
      <c r="BF42" s="320"/>
      <c r="BG42" s="318"/>
      <c r="BH42" s="328"/>
      <c r="BI42" s="330"/>
      <c r="BJ42" s="318"/>
      <c r="BK42" s="318"/>
      <c r="BL42" s="323"/>
      <c r="BN42" s="320"/>
      <c r="BO42" s="318"/>
      <c r="BP42" s="328"/>
      <c r="BQ42" s="330"/>
      <c r="BR42" s="318"/>
      <c r="BS42" s="318"/>
      <c r="BT42" s="323"/>
      <c r="BV42" s="320"/>
      <c r="BW42" s="318"/>
      <c r="BX42" s="328"/>
      <c r="BY42" s="330"/>
      <c r="BZ42" s="318"/>
      <c r="CA42" s="318"/>
      <c r="CB42" s="323"/>
      <c r="CD42" s="320"/>
      <c r="CE42" s="318"/>
      <c r="CF42" s="328"/>
      <c r="CG42" s="330"/>
      <c r="CH42" s="318"/>
      <c r="CI42" s="318"/>
      <c r="CJ42" s="323"/>
      <c r="CL42" s="320"/>
      <c r="CM42" s="318"/>
      <c r="CN42" s="328"/>
      <c r="CO42" s="330"/>
      <c r="CP42" s="318"/>
      <c r="CQ42" s="318"/>
      <c r="CR42" s="323"/>
    </row>
    <row r="43" spans="2:96" x14ac:dyDescent="0.25">
      <c r="B43" s="320"/>
      <c r="C43" s="318"/>
      <c r="D43" s="329"/>
      <c r="E43" s="330"/>
      <c r="F43" s="318"/>
      <c r="G43" s="318"/>
      <c r="H43" s="323"/>
      <c r="J43" s="321"/>
      <c r="K43" s="331"/>
      <c r="L43" s="329"/>
      <c r="M43" s="330"/>
      <c r="N43" s="339"/>
      <c r="O43" s="331"/>
      <c r="P43" s="328"/>
      <c r="R43" s="320"/>
      <c r="S43" s="318"/>
      <c r="T43" s="329"/>
      <c r="U43" s="330"/>
      <c r="V43" s="318"/>
      <c r="W43" s="318"/>
      <c r="X43" s="323"/>
      <c r="Z43" s="320"/>
      <c r="AA43" s="318"/>
      <c r="AB43" s="329"/>
      <c r="AC43" s="330"/>
      <c r="AD43" s="318"/>
      <c r="AE43" s="318"/>
      <c r="AF43" s="323"/>
      <c r="AH43" s="320"/>
      <c r="AI43" s="318"/>
      <c r="AJ43" s="329"/>
      <c r="AK43" s="330"/>
      <c r="AL43" s="318"/>
      <c r="AM43" s="318"/>
      <c r="AN43" s="323"/>
      <c r="AP43" s="320"/>
      <c r="AQ43" s="318"/>
      <c r="AR43" s="329"/>
      <c r="AS43" s="330"/>
      <c r="AT43" s="318"/>
      <c r="AU43" s="318"/>
      <c r="AV43" s="323"/>
      <c r="AX43" s="320"/>
      <c r="AY43" s="318"/>
      <c r="AZ43" s="329"/>
      <c r="BA43" s="330"/>
      <c r="BB43" s="318"/>
      <c r="BC43" s="318"/>
      <c r="BD43" s="323"/>
      <c r="BF43" s="320"/>
      <c r="BG43" s="318"/>
      <c r="BH43" s="329"/>
      <c r="BI43" s="330"/>
      <c r="BJ43" s="318"/>
      <c r="BK43" s="318"/>
      <c r="BL43" s="323"/>
      <c r="BN43" s="320"/>
      <c r="BO43" s="318"/>
      <c r="BP43" s="329"/>
      <c r="BQ43" s="330"/>
      <c r="BR43" s="318"/>
      <c r="BS43" s="318"/>
      <c r="BT43" s="323"/>
      <c r="BV43" s="320"/>
      <c r="BW43" s="318"/>
      <c r="BX43" s="329"/>
      <c r="BY43" s="330"/>
      <c r="BZ43" s="318"/>
      <c r="CA43" s="318"/>
      <c r="CB43" s="323"/>
      <c r="CD43" s="320"/>
      <c r="CE43" s="318"/>
      <c r="CF43" s="329"/>
      <c r="CG43" s="330"/>
      <c r="CH43" s="318"/>
      <c r="CI43" s="318"/>
      <c r="CJ43" s="323"/>
      <c r="CL43" s="320"/>
      <c r="CM43" s="318"/>
      <c r="CN43" s="329"/>
      <c r="CO43" s="330"/>
      <c r="CP43" s="318"/>
      <c r="CQ43" s="318"/>
      <c r="CR43" s="323"/>
    </row>
    <row r="44" spans="2:96" ht="13.8" thickBot="1" x14ac:dyDescent="0.3">
      <c r="B44" s="320"/>
      <c r="C44" s="325"/>
      <c r="D44" s="375"/>
      <c r="E44" s="376"/>
      <c r="F44" s="318"/>
      <c r="G44" s="325"/>
      <c r="H44" s="326"/>
      <c r="J44" s="321"/>
      <c r="K44" s="350"/>
      <c r="L44" s="410"/>
      <c r="M44" s="411"/>
      <c r="N44" s="339"/>
      <c r="O44" s="350"/>
      <c r="P44" s="332"/>
      <c r="R44" s="320"/>
      <c r="S44" s="325"/>
      <c r="T44" s="375"/>
      <c r="U44" s="376"/>
      <c r="V44" s="318"/>
      <c r="W44" s="325"/>
      <c r="X44" s="326"/>
      <c r="Z44" s="320"/>
      <c r="AA44" s="325"/>
      <c r="AB44" s="375"/>
      <c r="AC44" s="376"/>
      <c r="AD44" s="318"/>
      <c r="AE44" s="325"/>
      <c r="AF44" s="326"/>
      <c r="AH44" s="320"/>
      <c r="AI44" s="325"/>
      <c r="AJ44" s="375"/>
      <c r="AK44" s="376"/>
      <c r="AL44" s="318"/>
      <c r="AM44" s="325"/>
      <c r="AN44" s="326"/>
      <c r="AP44" s="320"/>
      <c r="AQ44" s="325"/>
      <c r="AR44" s="375"/>
      <c r="AS44" s="376"/>
      <c r="AT44" s="318"/>
      <c r="AU44" s="325"/>
      <c r="AV44" s="326"/>
      <c r="AX44" s="320"/>
      <c r="AY44" s="325"/>
      <c r="AZ44" s="375"/>
      <c r="BA44" s="376"/>
      <c r="BB44" s="318"/>
      <c r="BC44" s="325"/>
      <c r="BD44" s="326"/>
      <c r="BF44" s="320"/>
      <c r="BG44" s="325"/>
      <c r="BH44" s="375"/>
      <c r="BI44" s="376"/>
      <c r="BJ44" s="318"/>
      <c r="BK44" s="325"/>
      <c r="BL44" s="326"/>
      <c r="BN44" s="320"/>
      <c r="BO44" s="325"/>
      <c r="BP44" s="375"/>
      <c r="BQ44" s="376"/>
      <c r="BR44" s="318"/>
      <c r="BS44" s="325"/>
      <c r="BT44" s="326"/>
      <c r="BV44" s="320"/>
      <c r="BW44" s="325"/>
      <c r="BX44" s="375"/>
      <c r="BY44" s="376"/>
      <c r="BZ44" s="318"/>
      <c r="CA44" s="325"/>
      <c r="CB44" s="326"/>
      <c r="CD44" s="320"/>
      <c r="CE44" s="325"/>
      <c r="CF44" s="375"/>
      <c r="CG44" s="376"/>
      <c r="CH44" s="318"/>
      <c r="CI44" s="325"/>
      <c r="CJ44" s="326"/>
      <c r="CL44" s="320"/>
      <c r="CM44" s="325"/>
      <c r="CN44" s="375"/>
      <c r="CO44" s="376"/>
      <c r="CP44" s="318"/>
      <c r="CQ44" s="325"/>
      <c r="CR44" s="326"/>
    </row>
    <row r="45" spans="2:96" ht="128.1" customHeight="1" thickBot="1" x14ac:dyDescent="0.3">
      <c r="B45" s="365"/>
      <c r="C45" s="366"/>
      <c r="D45" s="366"/>
      <c r="E45" s="366"/>
      <c r="F45" s="366"/>
      <c r="G45" s="366"/>
      <c r="H45" s="367"/>
      <c r="J45" s="412"/>
      <c r="K45" s="413"/>
      <c r="L45" s="413"/>
      <c r="M45" s="413"/>
      <c r="N45" s="413"/>
      <c r="O45" s="413"/>
      <c r="P45" s="414"/>
      <c r="R45" s="365"/>
      <c r="S45" s="366"/>
      <c r="T45" s="366"/>
      <c r="U45" s="366"/>
      <c r="V45" s="366"/>
      <c r="W45" s="366"/>
      <c r="X45" s="367"/>
      <c r="Z45" s="365"/>
      <c r="AA45" s="366"/>
      <c r="AB45" s="366"/>
      <c r="AC45" s="366"/>
      <c r="AD45" s="366"/>
      <c r="AE45" s="366"/>
      <c r="AF45" s="367"/>
      <c r="AH45" s="365"/>
      <c r="AI45" s="366"/>
      <c r="AJ45" s="366"/>
      <c r="AK45" s="366"/>
      <c r="AL45" s="366"/>
      <c r="AM45" s="366"/>
      <c r="AN45" s="367"/>
      <c r="AP45" s="365"/>
      <c r="AQ45" s="366"/>
      <c r="AR45" s="366"/>
      <c r="AS45" s="366"/>
      <c r="AT45" s="366"/>
      <c r="AU45" s="366"/>
      <c r="AV45" s="367"/>
      <c r="AX45" s="365"/>
      <c r="AY45" s="366"/>
      <c r="AZ45" s="366"/>
      <c r="BA45" s="366"/>
      <c r="BB45" s="366"/>
      <c r="BC45" s="366"/>
      <c r="BD45" s="367"/>
      <c r="BF45" s="365"/>
      <c r="BG45" s="366"/>
      <c r="BH45" s="366"/>
      <c r="BI45" s="366"/>
      <c r="BJ45" s="366"/>
      <c r="BK45" s="366"/>
      <c r="BL45" s="367"/>
      <c r="BN45" s="365"/>
      <c r="BO45" s="366"/>
      <c r="BP45" s="366"/>
      <c r="BQ45" s="366"/>
      <c r="BR45" s="366"/>
      <c r="BS45" s="366"/>
      <c r="BT45" s="367"/>
      <c r="BV45" s="365"/>
      <c r="BW45" s="366"/>
      <c r="BX45" s="366"/>
      <c r="BY45" s="366"/>
      <c r="BZ45" s="366"/>
      <c r="CA45" s="366"/>
      <c r="CB45" s="367"/>
      <c r="CD45" s="365"/>
      <c r="CE45" s="366"/>
      <c r="CF45" s="366"/>
      <c r="CG45" s="366"/>
      <c r="CH45" s="366"/>
      <c r="CI45" s="366"/>
      <c r="CJ45" s="367"/>
      <c r="CL45" s="365"/>
      <c r="CM45" s="366"/>
      <c r="CN45" s="366"/>
      <c r="CO45" s="366"/>
      <c r="CP45" s="366"/>
      <c r="CQ45" s="366"/>
      <c r="CR45" s="367"/>
    </row>
    <row r="46" spans="2:96" ht="212.4" customHeight="1" x14ac:dyDescent="0.25">
      <c r="B46" s="320"/>
      <c r="C46" s="337"/>
      <c r="D46" s="337"/>
      <c r="E46" s="337"/>
      <c r="F46" s="318"/>
      <c r="G46" s="320"/>
      <c r="H46" s="320"/>
      <c r="J46" s="321"/>
      <c r="K46" s="351"/>
      <c r="L46" s="351"/>
      <c r="M46" s="351"/>
      <c r="N46" s="339"/>
      <c r="O46" s="348"/>
      <c r="P46" s="348"/>
      <c r="R46" s="320"/>
      <c r="S46" s="337"/>
      <c r="T46" s="337"/>
      <c r="U46" s="337"/>
      <c r="V46" s="318"/>
      <c r="W46" s="320"/>
      <c r="X46" s="320"/>
      <c r="Z46" s="320"/>
      <c r="AA46" s="337"/>
      <c r="AB46" s="337"/>
      <c r="AC46" s="337"/>
      <c r="AD46" s="318"/>
      <c r="AE46" s="320"/>
      <c r="AF46" s="320"/>
      <c r="AH46" s="320"/>
      <c r="AI46" s="337"/>
      <c r="AJ46" s="337"/>
      <c r="AK46" s="337"/>
      <c r="AL46" s="318"/>
      <c r="AM46" s="320"/>
      <c r="AN46" s="320"/>
      <c r="AP46" s="320"/>
      <c r="AQ46" s="337"/>
      <c r="AR46" s="337"/>
      <c r="AS46" s="337"/>
      <c r="AT46" s="318"/>
      <c r="AU46" s="320"/>
      <c r="AV46" s="320"/>
      <c r="AX46" s="320"/>
      <c r="AY46" s="337"/>
      <c r="AZ46" s="337"/>
      <c r="BA46" s="337"/>
      <c r="BB46" s="318"/>
      <c r="BC46" s="320"/>
      <c r="BD46" s="320"/>
      <c r="BF46" s="320"/>
      <c r="BG46" s="337"/>
      <c r="BH46" s="337"/>
      <c r="BI46" s="337"/>
      <c r="BJ46" s="318"/>
      <c r="BK46" s="320"/>
      <c r="BL46" s="320"/>
      <c r="BN46" s="320"/>
      <c r="BO46" s="337"/>
      <c r="BP46" s="337"/>
      <c r="BQ46" s="337"/>
      <c r="BR46" s="318"/>
      <c r="BS46" s="320"/>
      <c r="BT46" s="320"/>
      <c r="BV46" s="320"/>
      <c r="BW46" s="337"/>
      <c r="BX46" s="337"/>
      <c r="BY46" s="337"/>
      <c r="BZ46" s="318"/>
      <c r="CA46" s="320"/>
      <c r="CB46" s="320"/>
      <c r="CD46" s="320"/>
      <c r="CE46" s="337"/>
      <c r="CF46" s="337"/>
      <c r="CG46" s="337"/>
      <c r="CH46" s="318"/>
      <c r="CI46" s="320"/>
      <c r="CJ46" s="320"/>
      <c r="CL46" s="320"/>
      <c r="CM46" s="337"/>
      <c r="CN46" s="337"/>
      <c r="CO46" s="337"/>
      <c r="CP46" s="318"/>
      <c r="CQ46" s="320"/>
      <c r="CR46" s="320"/>
    </row>
    <row r="47" spans="2:96" ht="12.6" customHeight="1" x14ac:dyDescent="0.25">
      <c r="B47" s="320"/>
      <c r="C47" s="368"/>
      <c r="D47" s="368"/>
      <c r="E47" s="368"/>
      <c r="F47" s="318"/>
      <c r="J47" s="321"/>
      <c r="K47" s="415"/>
      <c r="L47" s="415"/>
      <c r="M47" s="415"/>
      <c r="N47" s="339"/>
      <c r="R47" s="320"/>
      <c r="S47" s="368"/>
      <c r="T47" s="368"/>
      <c r="U47" s="368"/>
      <c r="V47" s="318"/>
      <c r="Z47" s="320"/>
      <c r="AA47" s="368"/>
      <c r="AB47" s="368"/>
      <c r="AC47" s="368"/>
      <c r="AD47" s="318"/>
      <c r="AH47" s="320"/>
      <c r="AI47" s="368"/>
      <c r="AJ47" s="368"/>
      <c r="AK47" s="368"/>
      <c r="AL47" s="318"/>
      <c r="AP47" s="320"/>
      <c r="AQ47" s="368"/>
      <c r="AR47" s="368"/>
      <c r="AS47" s="368"/>
      <c r="AT47" s="318"/>
      <c r="AX47" s="320"/>
      <c r="AY47" s="368"/>
      <c r="AZ47" s="368"/>
      <c r="BA47" s="368"/>
      <c r="BB47" s="318"/>
      <c r="BF47" s="320"/>
      <c r="BG47" s="368"/>
      <c r="BH47" s="368"/>
      <c r="BI47" s="368"/>
      <c r="BJ47" s="318"/>
      <c r="BN47" s="320"/>
      <c r="BO47" s="368"/>
      <c r="BP47" s="368"/>
      <c r="BQ47" s="368"/>
      <c r="BR47" s="318"/>
      <c r="BV47" s="320"/>
      <c r="BW47" s="368"/>
      <c r="BX47" s="368"/>
      <c r="BY47" s="368"/>
      <c r="BZ47" s="318"/>
      <c r="CD47" s="320"/>
      <c r="CE47" s="368"/>
      <c r="CF47" s="368"/>
      <c r="CG47" s="368"/>
      <c r="CH47" s="318"/>
      <c r="CL47" s="320"/>
      <c r="CM47" s="368"/>
      <c r="CN47" s="368"/>
      <c r="CO47" s="368"/>
      <c r="CP47" s="318"/>
    </row>
    <row r="48" spans="2:96" ht="27" customHeight="1" x14ac:dyDescent="0.25">
      <c r="B48" s="369"/>
      <c r="C48" s="370"/>
      <c r="D48" s="370"/>
      <c r="E48" s="370"/>
      <c r="F48" s="370"/>
      <c r="G48" s="370"/>
      <c r="H48" s="371"/>
      <c r="J48" s="416"/>
      <c r="K48" s="417"/>
      <c r="L48" s="417"/>
      <c r="M48" s="417"/>
      <c r="N48" s="417"/>
      <c r="O48" s="417"/>
      <c r="P48" s="418"/>
      <c r="R48" s="369"/>
      <c r="S48" s="370"/>
      <c r="T48" s="370"/>
      <c r="U48" s="370"/>
      <c r="V48" s="370"/>
      <c r="W48" s="370"/>
      <c r="X48" s="371"/>
      <c r="Z48" s="369"/>
      <c r="AA48" s="370"/>
      <c r="AB48" s="370"/>
      <c r="AC48" s="370"/>
      <c r="AD48" s="370"/>
      <c r="AE48" s="370"/>
      <c r="AF48" s="371"/>
      <c r="AH48" s="369"/>
      <c r="AI48" s="370"/>
      <c r="AJ48" s="370"/>
      <c r="AK48" s="370"/>
      <c r="AL48" s="370"/>
      <c r="AM48" s="370"/>
      <c r="AN48" s="371"/>
      <c r="AP48" s="369"/>
      <c r="AQ48" s="370"/>
      <c r="AR48" s="370"/>
      <c r="AS48" s="370"/>
      <c r="AT48" s="370"/>
      <c r="AU48" s="370"/>
      <c r="AV48" s="371"/>
      <c r="AX48" s="369"/>
      <c r="AY48" s="370"/>
      <c r="AZ48" s="370"/>
      <c r="BA48" s="370"/>
      <c r="BB48" s="370"/>
      <c r="BC48" s="370"/>
      <c r="BD48" s="371"/>
      <c r="BF48" s="369"/>
      <c r="BG48" s="370"/>
      <c r="BH48" s="370"/>
      <c r="BI48" s="370"/>
      <c r="BJ48" s="370"/>
      <c r="BK48" s="370"/>
      <c r="BL48" s="371"/>
      <c r="BN48" s="369"/>
      <c r="BO48" s="370"/>
      <c r="BP48" s="370"/>
      <c r="BQ48" s="370"/>
      <c r="BR48" s="370"/>
      <c r="BS48" s="370"/>
      <c r="BT48" s="371"/>
      <c r="BV48" s="369"/>
      <c r="BW48" s="370"/>
      <c r="BX48" s="370"/>
      <c r="BY48" s="370"/>
      <c r="BZ48" s="370"/>
      <c r="CA48" s="370"/>
      <c r="CB48" s="371"/>
      <c r="CD48" s="369"/>
      <c r="CE48" s="370"/>
      <c r="CF48" s="370"/>
      <c r="CG48" s="370"/>
      <c r="CH48" s="370"/>
      <c r="CI48" s="370"/>
      <c r="CJ48" s="371"/>
      <c r="CL48" s="369"/>
      <c r="CM48" s="370"/>
      <c r="CN48" s="370"/>
      <c r="CO48" s="370"/>
      <c r="CP48" s="370"/>
      <c r="CQ48" s="370"/>
      <c r="CR48" s="371"/>
    </row>
    <row r="49" spans="2:94" ht="12.9" customHeight="1" x14ac:dyDescent="0.25">
      <c r="B49" s="331"/>
      <c r="C49" s="332"/>
      <c r="D49" s="321"/>
      <c r="E49" s="331"/>
      <c r="F49" s="332"/>
      <c r="J49" s="318"/>
      <c r="K49" s="326"/>
      <c r="L49" s="320"/>
      <c r="M49" s="318"/>
      <c r="N49" s="326"/>
      <c r="R49" s="331"/>
      <c r="S49" s="332"/>
      <c r="T49" s="321"/>
      <c r="U49" s="331"/>
      <c r="V49" s="332"/>
      <c r="Z49" s="331"/>
      <c r="AA49" s="332"/>
      <c r="AB49" s="321"/>
      <c r="AC49" s="331"/>
      <c r="AD49" s="332"/>
      <c r="AH49" s="331"/>
      <c r="AI49" s="332"/>
      <c r="AJ49" s="321"/>
      <c r="AK49" s="331"/>
      <c r="AL49" s="332"/>
      <c r="AP49" s="331"/>
      <c r="AQ49" s="332"/>
      <c r="AR49" s="321"/>
      <c r="AS49" s="331"/>
      <c r="AT49" s="332"/>
      <c r="AX49" s="331"/>
      <c r="AY49" s="332"/>
      <c r="AZ49" s="321"/>
      <c r="BA49" s="331"/>
      <c r="BB49" s="332"/>
      <c r="BF49" s="331"/>
      <c r="BG49" s="332"/>
      <c r="BH49" s="321"/>
      <c r="BI49" s="331"/>
      <c r="BJ49" s="332"/>
      <c r="BN49" s="331"/>
      <c r="BO49" s="332"/>
      <c r="BP49" s="321"/>
      <c r="BQ49" s="331"/>
      <c r="BR49" s="332"/>
      <c r="BV49" s="331"/>
      <c r="BW49" s="332"/>
      <c r="BX49" s="321"/>
      <c r="BY49" s="331"/>
      <c r="BZ49" s="332"/>
      <c r="CD49" s="331"/>
      <c r="CE49" s="332"/>
      <c r="CF49" s="321"/>
      <c r="CG49" s="331"/>
      <c r="CH49" s="332"/>
      <c r="CL49" s="331"/>
      <c r="CM49" s="332"/>
      <c r="CN49" s="321"/>
      <c r="CO49" s="331"/>
      <c r="CP49" s="332"/>
    </row>
    <row r="50" spans="2:94" x14ac:dyDescent="0.25">
      <c r="B50" s="331"/>
      <c r="C50" s="332"/>
      <c r="D50" s="321"/>
      <c r="E50" s="331"/>
      <c r="F50" s="333"/>
      <c r="J50" s="318"/>
      <c r="K50" s="326"/>
      <c r="L50" s="320"/>
      <c r="M50" s="318"/>
      <c r="N50" s="327"/>
      <c r="R50" s="331"/>
      <c r="S50" s="332"/>
      <c r="T50" s="321"/>
      <c r="U50" s="331"/>
      <c r="V50" s="333"/>
      <c r="Z50" s="331"/>
      <c r="AA50" s="332"/>
      <c r="AB50" s="321"/>
      <c r="AC50" s="331"/>
      <c r="AD50" s="333"/>
      <c r="AH50" s="331"/>
      <c r="AI50" s="332"/>
      <c r="AJ50" s="321"/>
      <c r="AK50" s="331"/>
      <c r="AL50" s="333"/>
      <c r="AP50" s="331"/>
      <c r="AQ50" s="332"/>
      <c r="AR50" s="321"/>
      <c r="AS50" s="331"/>
      <c r="AT50" s="333"/>
      <c r="AX50" s="331"/>
      <c r="AY50" s="332"/>
      <c r="AZ50" s="321"/>
      <c r="BA50" s="331"/>
      <c r="BB50" s="333"/>
      <c r="BF50" s="331"/>
      <c r="BG50" s="332"/>
      <c r="BH50" s="321"/>
      <c r="BI50" s="331"/>
      <c r="BJ50" s="333"/>
      <c r="BN50" s="331"/>
      <c r="BO50" s="332"/>
      <c r="BP50" s="321"/>
      <c r="BQ50" s="331"/>
      <c r="BR50" s="333"/>
      <c r="BV50" s="331"/>
      <c r="BW50" s="332"/>
      <c r="BX50" s="321"/>
      <c r="BY50" s="331"/>
      <c r="BZ50" s="333"/>
      <c r="CD50" s="331"/>
      <c r="CE50" s="332"/>
      <c r="CF50" s="321"/>
      <c r="CG50" s="331"/>
      <c r="CH50" s="333"/>
      <c r="CL50" s="331"/>
      <c r="CM50" s="332"/>
      <c r="CN50" s="321"/>
      <c r="CO50" s="331"/>
      <c r="CP50" s="333"/>
    </row>
    <row r="51" spans="2:94" x14ac:dyDescent="0.25">
      <c r="B51" s="331"/>
      <c r="C51" s="333"/>
      <c r="D51" s="321"/>
      <c r="E51" s="331"/>
      <c r="F51" s="332"/>
      <c r="J51" s="318"/>
      <c r="K51" s="327"/>
      <c r="L51" s="320"/>
      <c r="M51" s="318"/>
      <c r="N51" s="326"/>
      <c r="R51" s="331"/>
      <c r="S51" s="333"/>
      <c r="T51" s="321"/>
      <c r="U51" s="331"/>
      <c r="V51" s="332"/>
      <c r="Z51" s="331"/>
      <c r="AA51" s="333"/>
      <c r="AB51" s="321"/>
      <c r="AC51" s="331"/>
      <c r="AD51" s="332"/>
      <c r="AH51" s="331"/>
      <c r="AI51" s="333"/>
      <c r="AJ51" s="321"/>
      <c r="AK51" s="331"/>
      <c r="AL51" s="332"/>
      <c r="AP51" s="331"/>
      <c r="AQ51" s="333"/>
      <c r="AR51" s="321"/>
      <c r="AS51" s="331"/>
      <c r="AT51" s="332"/>
      <c r="AX51" s="331"/>
      <c r="AY51" s="333"/>
      <c r="AZ51" s="321"/>
      <c r="BA51" s="331"/>
      <c r="BB51" s="332"/>
      <c r="BF51" s="331"/>
      <c r="BG51" s="333"/>
      <c r="BH51" s="321"/>
      <c r="BI51" s="331"/>
      <c r="BJ51" s="332"/>
      <c r="BN51" s="331"/>
      <c r="BO51" s="333"/>
      <c r="BP51" s="321"/>
      <c r="BQ51" s="331"/>
      <c r="BR51" s="332"/>
      <c r="BV51" s="331"/>
      <c r="BW51" s="333"/>
      <c r="BX51" s="321"/>
      <c r="BY51" s="331"/>
      <c r="BZ51" s="332"/>
      <c r="CD51" s="331"/>
      <c r="CE51" s="333"/>
      <c r="CF51" s="321"/>
      <c r="CG51" s="331"/>
      <c r="CH51" s="332"/>
      <c r="CL51" s="331"/>
      <c r="CM51" s="333"/>
      <c r="CN51" s="321"/>
      <c r="CO51" s="331"/>
      <c r="CP51" s="332"/>
    </row>
    <row r="52" spans="2:94" x14ac:dyDescent="0.25">
      <c r="B52" s="331"/>
      <c r="C52" s="332"/>
      <c r="D52" s="321"/>
      <c r="E52" s="331"/>
      <c r="F52" s="332"/>
      <c r="J52" s="318"/>
      <c r="K52" s="326"/>
      <c r="L52" s="320"/>
      <c r="M52" s="318"/>
      <c r="N52" s="326"/>
      <c r="R52" s="331"/>
      <c r="S52" s="332"/>
      <c r="T52" s="321"/>
      <c r="U52" s="331"/>
      <c r="V52" s="332"/>
      <c r="Z52" s="331"/>
      <c r="AA52" s="332"/>
      <c r="AB52" s="321"/>
      <c r="AC52" s="331"/>
      <c r="AD52" s="332"/>
      <c r="AH52" s="331"/>
      <c r="AI52" s="332"/>
      <c r="AJ52" s="321"/>
      <c r="AK52" s="331"/>
      <c r="AL52" s="332"/>
      <c r="AP52" s="331"/>
      <c r="AQ52" s="332"/>
      <c r="AR52" s="321"/>
      <c r="AS52" s="331"/>
      <c r="AT52" s="332"/>
      <c r="AX52" s="331"/>
      <c r="AY52" s="332"/>
      <c r="AZ52" s="321"/>
      <c r="BA52" s="331"/>
      <c r="BB52" s="332"/>
      <c r="BF52" s="331"/>
      <c r="BG52" s="332"/>
      <c r="BH52" s="321"/>
      <c r="BI52" s="331"/>
      <c r="BJ52" s="332"/>
      <c r="BN52" s="331"/>
      <c r="BO52" s="332"/>
      <c r="BP52" s="321"/>
      <c r="BQ52" s="331"/>
      <c r="BR52" s="332"/>
      <c r="BV52" s="331"/>
      <c r="BW52" s="332"/>
      <c r="BX52" s="321"/>
      <c r="BY52" s="331"/>
      <c r="BZ52" s="332"/>
      <c r="CD52" s="331"/>
      <c r="CE52" s="332"/>
      <c r="CF52" s="321"/>
      <c r="CG52" s="331"/>
      <c r="CH52" s="332"/>
      <c r="CL52" s="331"/>
      <c r="CM52" s="332"/>
      <c r="CN52" s="321"/>
      <c r="CO52" s="331"/>
      <c r="CP52" s="332"/>
    </row>
    <row r="53" spans="2:94" x14ac:dyDescent="0.25">
      <c r="B53" s="331"/>
      <c r="C53" s="333"/>
      <c r="D53" s="321"/>
      <c r="E53" s="321"/>
      <c r="F53" s="321"/>
      <c r="J53" s="318"/>
      <c r="K53" s="327"/>
      <c r="L53" s="320"/>
      <c r="M53" s="320"/>
      <c r="N53" s="320"/>
      <c r="R53" s="331"/>
      <c r="S53" s="333"/>
      <c r="T53" s="321"/>
      <c r="U53" s="321"/>
      <c r="V53" s="321"/>
      <c r="Z53" s="331"/>
      <c r="AA53" s="333"/>
      <c r="AB53" s="321"/>
      <c r="AC53" s="321"/>
      <c r="AD53" s="321"/>
      <c r="AH53" s="331"/>
      <c r="AI53" s="333"/>
      <c r="AJ53" s="321"/>
      <c r="AK53" s="321"/>
      <c r="AL53" s="321"/>
      <c r="AP53" s="331"/>
      <c r="AQ53" s="333"/>
      <c r="AR53" s="321"/>
      <c r="AS53" s="321"/>
      <c r="AT53" s="321"/>
      <c r="AX53" s="331"/>
      <c r="AY53" s="333"/>
      <c r="AZ53" s="321"/>
      <c r="BA53" s="321"/>
      <c r="BB53" s="321"/>
      <c r="BF53" s="331"/>
      <c r="BG53" s="333"/>
      <c r="BH53" s="321"/>
      <c r="BI53" s="321"/>
      <c r="BJ53" s="321"/>
      <c r="BN53" s="331"/>
      <c r="BO53" s="333"/>
      <c r="BP53" s="321"/>
      <c r="BQ53" s="321"/>
      <c r="BR53" s="321"/>
      <c r="BV53" s="331"/>
      <c r="BW53" s="333"/>
      <c r="BX53" s="321"/>
      <c r="BY53" s="321"/>
      <c r="BZ53" s="321"/>
      <c r="CD53" s="331"/>
      <c r="CE53" s="333"/>
      <c r="CF53" s="321"/>
      <c r="CG53" s="321"/>
      <c r="CH53" s="321"/>
      <c r="CL53" s="331"/>
      <c r="CM53" s="333"/>
      <c r="CN53" s="321"/>
      <c r="CO53" s="321"/>
      <c r="CP53" s="321"/>
    </row>
    <row r="54" spans="2:94" x14ac:dyDescent="0.25">
      <c r="B54" s="331"/>
      <c r="C54" s="321"/>
      <c r="D54" s="321"/>
      <c r="E54" s="321"/>
      <c r="F54" s="321"/>
      <c r="J54" s="318"/>
      <c r="K54" s="320"/>
      <c r="L54" s="320"/>
      <c r="M54" s="320"/>
      <c r="N54" s="320"/>
      <c r="R54" s="331"/>
      <c r="S54" s="321"/>
      <c r="T54" s="321"/>
      <c r="U54" s="321"/>
      <c r="V54" s="321"/>
      <c r="Z54" s="331"/>
      <c r="AA54" s="321"/>
      <c r="AB54" s="321"/>
      <c r="AC54" s="321"/>
      <c r="AD54" s="321"/>
      <c r="AH54" s="331"/>
      <c r="AI54" s="321"/>
      <c r="AJ54" s="321"/>
      <c r="AK54" s="321"/>
      <c r="AL54" s="321"/>
      <c r="AP54" s="331"/>
      <c r="AQ54" s="321"/>
      <c r="AR54" s="321"/>
      <c r="AS54" s="321"/>
      <c r="AT54" s="321"/>
      <c r="AX54" s="331"/>
      <c r="AY54" s="321"/>
      <c r="AZ54" s="321"/>
      <c r="BA54" s="321"/>
      <c r="BB54" s="321"/>
      <c r="BF54" s="331"/>
      <c r="BG54" s="321"/>
      <c r="BH54" s="321"/>
      <c r="BI54" s="321"/>
      <c r="BJ54" s="321"/>
      <c r="BN54" s="331"/>
      <c r="BO54" s="321"/>
      <c r="BP54" s="321"/>
      <c r="BQ54" s="321"/>
      <c r="BR54" s="321"/>
      <c r="BV54" s="331"/>
      <c r="BW54" s="321"/>
      <c r="BX54" s="321"/>
      <c r="BY54" s="321"/>
      <c r="BZ54" s="321"/>
      <c r="CD54" s="331"/>
      <c r="CE54" s="321"/>
      <c r="CF54" s="321"/>
      <c r="CG54" s="321"/>
      <c r="CH54" s="321"/>
      <c r="CL54" s="331"/>
      <c r="CM54" s="321"/>
      <c r="CN54" s="321"/>
      <c r="CO54" s="321"/>
      <c r="CP54" s="3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IM61"/>
  <sheetViews>
    <sheetView showGridLines="0" topLeftCell="A10" zoomScale="70" zoomScaleNormal="70" workbookViewId="0">
      <selection activeCell="C26" sqref="C26"/>
    </sheetView>
  </sheetViews>
  <sheetFormatPr baseColWidth="10" defaultColWidth="11.44140625" defaultRowHeight="13.2" x14ac:dyDescent="0.25"/>
  <cols>
    <col min="1" max="1" width="4.88671875" customWidth="1"/>
    <col min="2" max="2" width="25.5546875" customWidth="1"/>
    <col min="3" max="3" width="14.44140625" customWidth="1"/>
    <col min="4" max="4" width="15.88671875" customWidth="1"/>
    <col min="5" max="6" width="14.44140625" bestFit="1" customWidth="1"/>
    <col min="7" max="7" width="21.44140625" bestFit="1" customWidth="1"/>
    <col min="8" max="14" width="14.44140625" bestFit="1" customWidth="1"/>
    <col min="15" max="15" width="15.44140625" bestFit="1" customWidth="1"/>
  </cols>
  <sheetData>
    <row r="1" spans="2:247" ht="14.4" thickBot="1" x14ac:dyDescent="0.35">
      <c r="B1" s="486" t="s">
        <v>108</v>
      </c>
      <c r="C1" s="486"/>
      <c r="D1" s="486"/>
      <c r="E1" s="486"/>
      <c r="F1" s="486"/>
      <c r="G1" s="486"/>
      <c r="H1" s="486"/>
      <c r="I1" s="486"/>
      <c r="J1" s="486"/>
      <c r="K1" s="486"/>
      <c r="L1" s="486"/>
      <c r="M1" s="486"/>
      <c r="N1" s="486"/>
      <c r="O1" s="486"/>
    </row>
    <row r="2" spans="2:247" ht="13.5" customHeight="1" x14ac:dyDescent="0.25">
      <c r="B2" s="56" t="s">
        <v>34</v>
      </c>
      <c r="C2">
        <f>Títulos!B2</f>
        <v>0</v>
      </c>
      <c r="D2" s="266" t="e">
        <f>+#REF!</f>
        <v>#REF!</v>
      </c>
      <c r="E2" s="266"/>
      <c r="F2" s="266"/>
      <c r="G2" s="266"/>
      <c r="H2" s="266"/>
      <c r="M2" s="489"/>
      <c r="N2" s="490"/>
    </row>
    <row r="3" spans="2:247" ht="13.5" customHeight="1" thickBot="1" x14ac:dyDescent="0.3">
      <c r="B3" s="56" t="s">
        <v>50</v>
      </c>
      <c r="C3" s="59">
        <f>Títulos!F2</f>
        <v>0</v>
      </c>
      <c r="D3" s="267" t="e">
        <f>+#REF!</f>
        <v>#REF!</v>
      </c>
      <c r="E3" s="267"/>
      <c r="F3" s="267"/>
      <c r="G3" s="267"/>
      <c r="H3" s="267"/>
      <c r="M3" s="491"/>
      <c r="N3" s="492"/>
    </row>
    <row r="4" spans="2:247" ht="13.8" x14ac:dyDescent="0.25">
      <c r="B4" s="56" t="s">
        <v>51</v>
      </c>
      <c r="C4">
        <f>Títulos!B4</f>
        <v>46022</v>
      </c>
      <c r="D4" s="268" t="e">
        <f>+#REF!</f>
        <v>#REF!</v>
      </c>
      <c r="E4" s="268"/>
      <c r="F4" s="268"/>
      <c r="G4" s="268"/>
      <c r="H4" s="268"/>
    </row>
    <row r="5" spans="2:247" ht="13.8" x14ac:dyDescent="0.3"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</row>
    <row r="6" spans="2:247" ht="13.8" x14ac:dyDescent="0.3"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</row>
    <row r="7" spans="2:247" ht="13.8" x14ac:dyDescent="0.3">
      <c r="B7" s="269" t="s">
        <v>109</v>
      </c>
      <c r="C7" s="270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</row>
    <row r="8" spans="2:247" ht="14.4" thickBot="1" x14ac:dyDescent="0.35"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</row>
    <row r="9" spans="2:247" ht="13.8" thickBot="1" x14ac:dyDescent="0.3">
      <c r="B9" s="487" t="s">
        <v>110</v>
      </c>
      <c r="C9" s="488"/>
      <c r="D9" s="2"/>
      <c r="E9" s="1"/>
      <c r="F9" s="1"/>
    </row>
    <row r="10" spans="2:247" s="13" customFormat="1" ht="49.5" customHeight="1" thickBot="1" x14ac:dyDescent="0.3">
      <c r="B10" s="271" t="s">
        <v>38</v>
      </c>
      <c r="C10" s="272" t="s">
        <v>86</v>
      </c>
      <c r="D10" s="273" t="s">
        <v>111</v>
      </c>
      <c r="E10" s="274" t="s">
        <v>112</v>
      </c>
      <c r="F10" s="274" t="s">
        <v>113</v>
      </c>
      <c r="G10" s="274" t="s">
        <v>114</v>
      </c>
      <c r="H10" s="274" t="s">
        <v>115</v>
      </c>
      <c r="I10" s="493" t="s">
        <v>45</v>
      </c>
      <c r="J10" s="494"/>
      <c r="K10" s="494"/>
      <c r="L10" s="494"/>
      <c r="M10" s="494"/>
      <c r="N10" s="494"/>
      <c r="O10" s="494"/>
      <c r="P10" s="495"/>
    </row>
    <row r="11" spans="2:247" x14ac:dyDescent="0.25">
      <c r="B11" s="74"/>
      <c r="C11" s="75"/>
      <c r="D11" s="421">
        <f>IFERROR(VLOOKUP(B11,#REF!,3,FALSE),0)</f>
        <v>0</v>
      </c>
      <c r="E11" s="422"/>
      <c r="F11" s="275">
        <f t="shared" ref="F11:F14" si="0">+D11-E11</f>
        <v>0</v>
      </c>
      <c r="G11" s="61"/>
      <c r="H11" s="61"/>
      <c r="I11" s="496"/>
      <c r="J11" s="497"/>
      <c r="K11" s="497"/>
      <c r="L11" s="497"/>
      <c r="M11" s="497"/>
      <c r="N11" s="497"/>
      <c r="O11" s="497"/>
      <c r="P11" s="498"/>
    </row>
    <row r="12" spans="2:247" x14ac:dyDescent="0.25">
      <c r="B12" s="74"/>
      <c r="C12" s="75"/>
      <c r="D12" s="421">
        <f>IFERROR(VLOOKUP(B12,#REF!,3,FALSE),0)</f>
        <v>0</v>
      </c>
      <c r="E12" s="422"/>
      <c r="F12" s="275">
        <f t="shared" si="0"/>
        <v>0</v>
      </c>
      <c r="G12" s="61"/>
      <c r="H12" s="61"/>
      <c r="I12" s="496"/>
      <c r="J12" s="497"/>
      <c r="K12" s="497"/>
      <c r="L12" s="497"/>
      <c r="M12" s="497"/>
      <c r="N12" s="497"/>
      <c r="O12" s="497"/>
      <c r="P12" s="498"/>
    </row>
    <row r="13" spans="2:247" x14ac:dyDescent="0.25">
      <c r="B13" s="74"/>
      <c r="C13" s="75"/>
      <c r="D13" s="421">
        <f>IFERROR(VLOOKUP(B13,#REF!,3,FALSE),0)</f>
        <v>0</v>
      </c>
      <c r="E13" s="422"/>
      <c r="F13" s="275">
        <f t="shared" si="0"/>
        <v>0</v>
      </c>
      <c r="G13" s="61"/>
      <c r="H13" s="61"/>
      <c r="I13" s="496"/>
      <c r="J13" s="497"/>
      <c r="K13" s="497"/>
      <c r="L13" s="497"/>
      <c r="M13" s="497"/>
      <c r="N13" s="497"/>
      <c r="O13" s="497"/>
      <c r="P13" s="498"/>
    </row>
    <row r="14" spans="2:247" x14ac:dyDescent="0.25">
      <c r="B14" s="74"/>
      <c r="C14" s="75"/>
      <c r="D14" s="421">
        <f>IFERROR(VLOOKUP(B14,#REF!,3,FALSE),0)</f>
        <v>0</v>
      </c>
      <c r="E14" s="422"/>
      <c r="F14" s="275">
        <f t="shared" si="0"/>
        <v>0</v>
      </c>
      <c r="G14" s="61"/>
      <c r="H14" s="61"/>
      <c r="I14" s="496"/>
      <c r="J14" s="497"/>
      <c r="K14" s="497"/>
      <c r="L14" s="497"/>
      <c r="M14" s="497"/>
      <c r="N14" s="497"/>
      <c r="O14" s="497"/>
      <c r="P14" s="498"/>
    </row>
    <row r="15" spans="2:247" x14ac:dyDescent="0.25">
      <c r="B15" s="74"/>
      <c r="C15" s="75"/>
      <c r="D15" s="421">
        <f>IFERROR(VLOOKUP(B15,#REF!,3,FALSE),0)</f>
        <v>0</v>
      </c>
      <c r="E15" s="422"/>
      <c r="F15" s="275">
        <f t="shared" ref="F15:F17" si="1">+D15-E15</f>
        <v>0</v>
      </c>
      <c r="G15" s="61"/>
      <c r="H15" s="61"/>
      <c r="I15" s="496"/>
      <c r="J15" s="497"/>
      <c r="K15" s="497"/>
      <c r="L15" s="497"/>
      <c r="M15" s="497"/>
      <c r="N15" s="497"/>
      <c r="O15" s="497"/>
      <c r="P15" s="498"/>
    </row>
    <row r="16" spans="2:247" x14ac:dyDescent="0.25">
      <c r="B16" s="74"/>
      <c r="C16" s="75"/>
      <c r="D16" s="421">
        <f>IFERROR(VLOOKUP(B16,#REF!,3,FALSE),0)</f>
        <v>0</v>
      </c>
      <c r="E16" s="422"/>
      <c r="F16" s="275">
        <f t="shared" si="1"/>
        <v>0</v>
      </c>
      <c r="G16" s="61"/>
      <c r="H16" s="61"/>
      <c r="I16" s="496"/>
      <c r="J16" s="497"/>
      <c r="K16" s="497"/>
      <c r="L16" s="497"/>
      <c r="M16" s="497"/>
      <c r="N16" s="497"/>
      <c r="O16" s="497"/>
      <c r="P16" s="498"/>
    </row>
    <row r="17" spans="2:16" ht="13.8" thickBot="1" x14ac:dyDescent="0.3">
      <c r="B17" s="82"/>
      <c r="C17" s="83"/>
      <c r="D17" s="423">
        <f>IFERROR(VLOOKUP(B17,#REF!,3,FALSE),0)</f>
        <v>0</v>
      </c>
      <c r="E17" s="424"/>
      <c r="F17" s="276">
        <f t="shared" si="1"/>
        <v>0</v>
      </c>
      <c r="G17" s="62"/>
      <c r="H17" s="62"/>
      <c r="I17" s="483"/>
      <c r="J17" s="484"/>
      <c r="K17" s="484"/>
      <c r="L17" s="484"/>
      <c r="M17" s="484"/>
      <c r="N17" s="484"/>
      <c r="O17" s="484"/>
      <c r="P17" s="485"/>
    </row>
    <row r="18" spans="2:16" x14ac:dyDescent="0.25">
      <c r="B18" s="27"/>
      <c r="C18" s="27"/>
      <c r="D18" s="425"/>
      <c r="E18" s="426"/>
      <c r="F18" s="141"/>
      <c r="I18" s="63"/>
      <c r="J18" s="63"/>
      <c r="K18" s="63"/>
      <c r="L18" s="63"/>
      <c r="M18" s="63"/>
      <c r="N18" s="63"/>
      <c r="O18" s="63"/>
      <c r="P18" s="63"/>
    </row>
    <row r="19" spans="2:16" x14ac:dyDescent="0.25">
      <c r="B19" s="27"/>
      <c r="C19" s="27"/>
      <c r="D19" s="425"/>
      <c r="E19" s="426"/>
      <c r="F19" s="141"/>
      <c r="I19" s="63"/>
      <c r="J19" s="63"/>
      <c r="K19" s="63"/>
      <c r="L19" s="63"/>
      <c r="M19" s="63"/>
      <c r="N19" s="63"/>
      <c r="O19" s="63"/>
      <c r="P19" s="63"/>
    </row>
    <row r="20" spans="2:16" ht="13.8" x14ac:dyDescent="0.3">
      <c r="B20" s="269" t="s">
        <v>116</v>
      </c>
      <c r="C20" s="270"/>
      <c r="D20" s="277"/>
      <c r="E20" s="426"/>
      <c r="F20" s="141"/>
      <c r="I20" s="63"/>
      <c r="J20" s="63"/>
      <c r="K20" s="63"/>
      <c r="L20" s="63"/>
      <c r="M20" s="63"/>
      <c r="N20" s="63"/>
      <c r="O20" s="63"/>
      <c r="P20" s="63"/>
    </row>
    <row r="21" spans="2:16" ht="14.4" thickBot="1" x14ac:dyDescent="0.35">
      <c r="B21" s="9"/>
      <c r="C21" s="21"/>
      <c r="D21" s="425"/>
      <c r="E21" s="426"/>
      <c r="F21" s="141"/>
      <c r="I21" s="63"/>
      <c r="J21" s="63"/>
      <c r="K21" s="63"/>
      <c r="L21" s="63"/>
      <c r="M21" s="63"/>
      <c r="N21" s="63"/>
      <c r="O21" s="63"/>
      <c r="P21" s="63"/>
    </row>
    <row r="22" spans="2:16" ht="14.4" thickBot="1" x14ac:dyDescent="0.3">
      <c r="B22" s="9" t="s">
        <v>117</v>
      </c>
      <c r="C22" s="153" t="str">
        <f>TEXT('Analisis General'!D7,"MM")</f>
        <v>01</v>
      </c>
      <c r="D22" s="153" t="str">
        <f>TEXT('Analisis General'!E7,"MM")</f>
        <v>02</v>
      </c>
      <c r="E22" s="153" t="str">
        <f>TEXT('Analisis General'!F7,"MM")</f>
        <v>03</v>
      </c>
      <c r="F22" s="153" t="str">
        <f>TEXT('Analisis General'!G7,"MM")</f>
        <v>04</v>
      </c>
      <c r="G22" s="153" t="str">
        <f>TEXT('Analisis General'!H7,"MM")</f>
        <v>05</v>
      </c>
      <c r="H22" s="153" t="str">
        <f>TEXT('Analisis General'!I7,"MM")</f>
        <v>06</v>
      </c>
      <c r="I22" s="153" t="str">
        <f>TEXT('Analisis General'!J7,"MM")</f>
        <v>07</v>
      </c>
      <c r="J22" s="153" t="str">
        <f>TEXT('Analisis General'!K7,"MM")</f>
        <v>08</v>
      </c>
      <c r="K22" s="153" t="str">
        <f>TEXT('Analisis General'!L7,"MM")</f>
        <v>09</v>
      </c>
      <c r="L22" s="153" t="str">
        <f>TEXT('Analisis General'!M7,"MM")</f>
        <v>10</v>
      </c>
      <c r="M22" s="153" t="str">
        <f>TEXT('Analisis General'!N7,"MM")</f>
        <v>11</v>
      </c>
      <c r="N22" s="153" t="str">
        <f>TEXT('Analisis General'!O7,"MM")</f>
        <v>12</v>
      </c>
      <c r="O22" s="157" t="s">
        <v>118</v>
      </c>
      <c r="P22" s="63"/>
    </row>
    <row r="23" spans="2:16" ht="13.8" x14ac:dyDescent="0.3">
      <c r="B23" s="9" t="s">
        <v>79</v>
      </c>
      <c r="C23" s="137">
        <f>+'Analisis General'!D33</f>
        <v>0</v>
      </c>
      <c r="D23" s="137">
        <f>+'Analisis General'!E33</f>
        <v>0</v>
      </c>
      <c r="E23" s="137">
        <f>+'Analisis General'!F33</f>
        <v>0</v>
      </c>
      <c r="F23" s="137">
        <f>+'Analisis General'!G33</f>
        <v>0</v>
      </c>
      <c r="G23" s="137">
        <f>+'Analisis General'!H33</f>
        <v>0</v>
      </c>
      <c r="H23" s="137">
        <f>+'Analisis General'!I33</f>
        <v>0</v>
      </c>
      <c r="I23" s="137">
        <f>+'Analisis General'!J33</f>
        <v>0</v>
      </c>
      <c r="J23" s="137">
        <f>+'Analisis General'!K33</f>
        <v>0</v>
      </c>
      <c r="K23" s="137">
        <f>+'Analisis General'!L33</f>
        <v>0</v>
      </c>
      <c r="L23" s="137">
        <f>+'Analisis General'!M33</f>
        <v>0</v>
      </c>
      <c r="M23" s="137">
        <f>+'Analisis General'!N33</f>
        <v>0</v>
      </c>
      <c r="N23" s="137">
        <f>+'Analisis General'!O33</f>
        <v>0</v>
      </c>
      <c r="O23" s="278">
        <f>SUM(C23:N23)</f>
        <v>0</v>
      </c>
      <c r="P23" s="63"/>
    </row>
    <row r="24" spans="2:16" ht="13.8" x14ac:dyDescent="0.3">
      <c r="B24" s="9"/>
      <c r="C24" s="137"/>
      <c r="D24" s="425"/>
      <c r="E24" s="427"/>
      <c r="F24" s="141"/>
      <c r="G24" s="54"/>
      <c r="H24" s="54"/>
      <c r="I24" s="279"/>
      <c r="J24" s="279"/>
      <c r="K24" s="279"/>
      <c r="L24" s="279"/>
      <c r="M24" s="279"/>
      <c r="N24" s="279"/>
      <c r="O24" s="278"/>
      <c r="P24" s="63"/>
    </row>
    <row r="25" spans="2:16" ht="13.8" x14ac:dyDescent="0.3">
      <c r="B25" s="9" t="s">
        <v>119</v>
      </c>
      <c r="C25" s="137"/>
      <c r="D25" s="425"/>
      <c r="E25" s="427"/>
      <c r="F25" s="141"/>
      <c r="G25" s="54"/>
      <c r="H25" s="54"/>
      <c r="I25" s="279"/>
      <c r="J25" s="279"/>
      <c r="K25" s="279"/>
      <c r="L25" s="279"/>
      <c r="M25" s="279"/>
      <c r="N25" s="279"/>
      <c r="O25" s="278">
        <f t="shared" ref="O25:O29" si="2">SUM(C25:N25)</f>
        <v>0</v>
      </c>
      <c r="P25" s="63"/>
    </row>
    <row r="26" spans="2:16" ht="13.8" x14ac:dyDescent="0.3">
      <c r="B26" s="9" t="s">
        <v>120</v>
      </c>
      <c r="C26" s="137">
        <f>SUMIF(COMPENSACIONES!$B5:$B1064,'Saldo Inicio y cierre'!C$22,COMPENSACIONES!$F5:$F1065)</f>
        <v>0</v>
      </c>
      <c r="D26" s="137">
        <f>SUMIF(COMPENSACIONES!$B5:$B1064,'Saldo Inicio y cierre'!D$22,COMPENSACIONES!$F5:$F1065)</f>
        <v>0</v>
      </c>
      <c r="E26" s="137">
        <f>SUMIF(COMPENSACIONES!$B5:$B1064,'Saldo Inicio y cierre'!E$22,COMPENSACIONES!$F5:$F1065)</f>
        <v>0</v>
      </c>
      <c r="F26" s="137">
        <f>SUMIF(COMPENSACIONES!$B5:$B1064,'Saldo Inicio y cierre'!F$22,COMPENSACIONES!$F5:$F1065)</f>
        <v>0</v>
      </c>
      <c r="G26" s="137">
        <f>SUMIF(COMPENSACIONES!$B5:$B1064,'Saldo Inicio y cierre'!G$22,COMPENSACIONES!$F5:$F1065)</f>
        <v>0</v>
      </c>
      <c r="H26" s="137">
        <f>SUMIF(COMPENSACIONES!$B5:$B1064,'Saldo Inicio y cierre'!H$22,COMPENSACIONES!$F5:$F1065)</f>
        <v>0</v>
      </c>
      <c r="I26" s="137">
        <f>SUMIF(COMPENSACIONES!$B5:$B1064,'Saldo Inicio y cierre'!I$22,COMPENSACIONES!$F5:$F1065)</f>
        <v>0</v>
      </c>
      <c r="J26" s="137">
        <f>SUMIF(COMPENSACIONES!$B5:$B1064,'Saldo Inicio y cierre'!J$22,COMPENSACIONES!$F5:$F1065)</f>
        <v>0</v>
      </c>
      <c r="K26" s="137">
        <f>SUMIF(COMPENSACIONES!$B5:$B1064,'Saldo Inicio y cierre'!K$22,COMPENSACIONES!$F5:$F1065)</f>
        <v>0</v>
      </c>
      <c r="L26" s="137">
        <f>SUMIF(COMPENSACIONES!$B5:$B1064,'Saldo Inicio y cierre'!L$22,COMPENSACIONES!$F5:$F1065)</f>
        <v>0</v>
      </c>
      <c r="M26" s="137">
        <f>SUMIF(COMPENSACIONES!$B5:$B1064,'Saldo Inicio y cierre'!M$22,COMPENSACIONES!$F5:$F1065)</f>
        <v>0</v>
      </c>
      <c r="N26" s="137">
        <f>SUMIF(COMPENSACIONES!$B5:$B1064,'Saldo Inicio y cierre'!N$22,COMPENSACIONES!$F5:$F1065)</f>
        <v>0</v>
      </c>
      <c r="O26" s="278">
        <f t="shared" si="2"/>
        <v>0</v>
      </c>
      <c r="P26" s="63"/>
    </row>
    <row r="27" spans="2:16" ht="13.8" x14ac:dyDescent="0.3">
      <c r="B27" s="9" t="s">
        <v>121</v>
      </c>
      <c r="C27" s="137"/>
      <c r="D27" s="425"/>
      <c r="E27" s="427"/>
      <c r="F27" s="141"/>
      <c r="G27" s="54"/>
      <c r="H27" s="54"/>
      <c r="I27" s="279"/>
      <c r="J27" s="279"/>
      <c r="K27" s="279"/>
      <c r="L27" s="279"/>
      <c r="M27" s="279"/>
      <c r="N27" s="279"/>
      <c r="O27" s="278">
        <f>SUM(C27:N27)</f>
        <v>0</v>
      </c>
      <c r="P27" s="63"/>
    </row>
    <row r="28" spans="2:16" ht="14.4" thickBot="1" x14ac:dyDescent="0.35">
      <c r="B28" s="154"/>
      <c r="C28" s="280"/>
      <c r="D28" s="428"/>
      <c r="E28" s="429"/>
      <c r="F28" s="155"/>
      <c r="G28" s="281"/>
      <c r="H28" s="281"/>
      <c r="I28" s="282"/>
      <c r="J28" s="282"/>
      <c r="K28" s="282"/>
      <c r="L28" s="282"/>
      <c r="M28" s="282"/>
      <c r="N28" s="282"/>
      <c r="O28" s="283"/>
      <c r="P28" s="63"/>
    </row>
    <row r="29" spans="2:16" ht="15" thickTop="1" thickBot="1" x14ac:dyDescent="0.35">
      <c r="B29" s="9" t="s">
        <v>48</v>
      </c>
      <c r="C29" s="137">
        <f>+C23-C25-C26-C27</f>
        <v>0</v>
      </c>
      <c r="D29" s="137">
        <f t="shared" ref="D29:N29" si="3">+D23-D25-D26-D27</f>
        <v>0</v>
      </c>
      <c r="E29" s="137">
        <f t="shared" si="3"/>
        <v>0</v>
      </c>
      <c r="F29" s="137">
        <f t="shared" si="3"/>
        <v>0</v>
      </c>
      <c r="G29" s="137">
        <f t="shared" si="3"/>
        <v>0</v>
      </c>
      <c r="H29" s="137">
        <f t="shared" si="3"/>
        <v>0</v>
      </c>
      <c r="I29" s="137">
        <f t="shared" si="3"/>
        <v>0</v>
      </c>
      <c r="J29" s="137">
        <f t="shared" si="3"/>
        <v>0</v>
      </c>
      <c r="K29" s="137">
        <f t="shared" si="3"/>
        <v>0</v>
      </c>
      <c r="L29" s="137">
        <f t="shared" si="3"/>
        <v>0</v>
      </c>
      <c r="M29" s="137">
        <f t="shared" si="3"/>
        <v>0</v>
      </c>
      <c r="N29" s="137">
        <f t="shared" si="3"/>
        <v>0</v>
      </c>
      <c r="O29" s="284">
        <f t="shared" si="2"/>
        <v>0</v>
      </c>
      <c r="P29" s="63"/>
    </row>
    <row r="30" spans="2:16" ht="13.8" x14ac:dyDescent="0.3">
      <c r="B30" s="9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156"/>
      <c r="P30" s="63"/>
    </row>
    <row r="31" spans="2:16" ht="13.8" thickBot="1" x14ac:dyDescent="0.3">
      <c r="B31" s="27"/>
      <c r="C31" s="27"/>
      <c r="D31" s="425"/>
      <c r="E31" s="426"/>
      <c r="F31" s="141"/>
      <c r="I31" s="63"/>
      <c r="J31" s="63"/>
      <c r="K31" s="63"/>
      <c r="L31" s="63"/>
      <c r="M31" s="63"/>
      <c r="N31" s="63"/>
      <c r="O31" s="63"/>
      <c r="P31" s="63"/>
    </row>
    <row r="32" spans="2:16" ht="13.8" thickBot="1" x14ac:dyDescent="0.3">
      <c r="B32" s="487" t="s">
        <v>122</v>
      </c>
      <c r="C32" s="488"/>
      <c r="D32" s="2"/>
      <c r="E32" s="1"/>
      <c r="F32" s="1"/>
    </row>
    <row r="33" spans="2:16" s="13" customFormat="1" ht="49.5" customHeight="1" thickBot="1" x14ac:dyDescent="0.3">
      <c r="B33" s="271" t="s">
        <v>38</v>
      </c>
      <c r="C33" s="272" t="s">
        <v>86</v>
      </c>
      <c r="D33" s="272" t="s">
        <v>123</v>
      </c>
      <c r="E33" s="273" t="s">
        <v>124</v>
      </c>
      <c r="F33" s="273" t="s">
        <v>125</v>
      </c>
      <c r="G33" s="274" t="s">
        <v>126</v>
      </c>
      <c r="H33" s="274" t="s">
        <v>115</v>
      </c>
      <c r="I33" s="493" t="s">
        <v>45</v>
      </c>
      <c r="J33" s="494"/>
      <c r="K33" s="494"/>
      <c r="L33" s="494"/>
      <c r="M33" s="494"/>
      <c r="N33" s="494"/>
      <c r="O33" s="494"/>
      <c r="P33" s="495"/>
    </row>
    <row r="34" spans="2:16" x14ac:dyDescent="0.25">
      <c r="B34" s="188"/>
      <c r="C34" s="189"/>
      <c r="D34" s="189">
        <f>IFERROR(VLOOKUP(B34,Sys!$C$3:$E$10167,3,FALSE),0)</f>
        <v>0</v>
      </c>
      <c r="E34" s="430"/>
      <c r="F34" s="430">
        <f>+D34-E34</f>
        <v>0</v>
      </c>
      <c r="G34" s="190"/>
      <c r="H34" s="190"/>
      <c r="I34" s="499"/>
      <c r="J34" s="500"/>
      <c r="K34" s="500"/>
      <c r="L34" s="500"/>
      <c r="M34" s="500"/>
      <c r="N34" s="500"/>
      <c r="O34" s="500"/>
      <c r="P34" s="501"/>
    </row>
    <row r="35" spans="2:16" x14ac:dyDescent="0.25">
      <c r="B35" s="74"/>
      <c r="C35" s="75"/>
      <c r="D35" s="75">
        <f>IFERROR(VLOOKUP(B35,Sys!$C$3:$E$10167,3,FALSE),0)</f>
        <v>0</v>
      </c>
      <c r="E35" s="421"/>
      <c r="F35" s="421">
        <f t="shared" ref="F35:F40" si="4">+D35-E35</f>
        <v>0</v>
      </c>
      <c r="G35" s="61"/>
      <c r="H35" s="61"/>
      <c r="I35" s="496"/>
      <c r="J35" s="497"/>
      <c r="K35" s="497"/>
      <c r="L35" s="497"/>
      <c r="M35" s="497"/>
      <c r="N35" s="497"/>
      <c r="O35" s="497"/>
      <c r="P35" s="498"/>
    </row>
    <row r="36" spans="2:16" x14ac:dyDescent="0.25">
      <c r="B36" s="74"/>
      <c r="C36" s="75"/>
      <c r="D36" s="75">
        <f>IFERROR(VLOOKUP(B36,Sys!$C$3:$E$10167,3,FALSE),0)</f>
        <v>0</v>
      </c>
      <c r="E36" s="421"/>
      <c r="F36" s="421">
        <f t="shared" si="4"/>
        <v>0</v>
      </c>
      <c r="G36" s="61"/>
      <c r="H36" s="61"/>
      <c r="I36" s="496"/>
      <c r="J36" s="497"/>
      <c r="K36" s="497"/>
      <c r="L36" s="497"/>
      <c r="M36" s="497"/>
      <c r="N36" s="497"/>
      <c r="O36" s="497"/>
      <c r="P36" s="498"/>
    </row>
    <row r="37" spans="2:16" x14ac:dyDescent="0.25">
      <c r="B37" s="74"/>
      <c r="C37" s="75"/>
      <c r="D37" s="75">
        <f>IFERROR(VLOOKUP(B37,Sys!$C$3:$E$10167,3,FALSE),0)</f>
        <v>0</v>
      </c>
      <c r="E37" s="421"/>
      <c r="F37" s="421">
        <f t="shared" si="4"/>
        <v>0</v>
      </c>
      <c r="G37" s="61"/>
      <c r="H37" s="61"/>
      <c r="I37" s="496"/>
      <c r="J37" s="497"/>
      <c r="K37" s="497"/>
      <c r="L37" s="497"/>
      <c r="M37" s="497"/>
      <c r="N37" s="497"/>
      <c r="O37" s="497"/>
      <c r="P37" s="498"/>
    </row>
    <row r="38" spans="2:16" x14ac:dyDescent="0.25">
      <c r="B38" s="74"/>
      <c r="C38" s="75"/>
      <c r="D38" s="75">
        <f>IFERROR(VLOOKUP(B38,Sys!$C$3:$E$10167,3,FALSE),0)</f>
        <v>0</v>
      </c>
      <c r="E38" s="421"/>
      <c r="F38" s="421">
        <f t="shared" si="4"/>
        <v>0</v>
      </c>
      <c r="G38" s="61"/>
      <c r="H38" s="61"/>
      <c r="I38" s="496"/>
      <c r="J38" s="497"/>
      <c r="K38" s="497"/>
      <c r="L38" s="497"/>
      <c r="M38" s="497"/>
      <c r="N38" s="497"/>
      <c r="O38" s="497"/>
      <c r="P38" s="498"/>
    </row>
    <row r="39" spans="2:16" x14ac:dyDescent="0.25">
      <c r="B39" s="74"/>
      <c r="C39" s="75"/>
      <c r="D39" s="75">
        <f>IFERROR(VLOOKUP(B39,Sys!$C$3:$E$10167,3,FALSE),0)</f>
        <v>0</v>
      </c>
      <c r="E39" s="421"/>
      <c r="F39" s="421">
        <f t="shared" si="4"/>
        <v>0</v>
      </c>
      <c r="G39" s="61"/>
      <c r="H39" s="61"/>
      <c r="I39" s="496"/>
      <c r="J39" s="497"/>
      <c r="K39" s="497"/>
      <c r="L39" s="497"/>
      <c r="M39" s="497"/>
      <c r="N39" s="497"/>
      <c r="O39" s="497"/>
      <c r="P39" s="498"/>
    </row>
    <row r="40" spans="2:16" ht="13.8" thickBot="1" x14ac:dyDescent="0.3">
      <c r="B40" s="82"/>
      <c r="C40" s="83"/>
      <c r="D40" s="83">
        <f>IFERROR(VLOOKUP(B40,Sys!$C$3:$E$10167,3,FALSE),0)</f>
        <v>0</v>
      </c>
      <c r="E40" s="423"/>
      <c r="F40" s="62">
        <f t="shared" si="4"/>
        <v>0</v>
      </c>
      <c r="G40" s="62"/>
      <c r="H40" s="62"/>
      <c r="I40" s="483"/>
      <c r="J40" s="484"/>
      <c r="K40" s="484"/>
      <c r="L40" s="484"/>
      <c r="M40" s="484"/>
      <c r="N40" s="484"/>
      <c r="O40" s="484"/>
      <c r="P40" s="485"/>
    </row>
    <row r="41" spans="2:16" ht="13.8" thickBot="1" x14ac:dyDescent="0.3">
      <c r="D41">
        <f>SUM(D34:D40)</f>
        <v>0</v>
      </c>
      <c r="E41">
        <f>SUM(E34:E40)</f>
        <v>0</v>
      </c>
      <c r="F41" s="187" t="e">
        <f>(+D41-E41)/D41</f>
        <v>#DIV/0!</v>
      </c>
    </row>
    <row r="43" spans="2:16" x14ac:dyDescent="0.25">
      <c r="B43" s="121" t="s">
        <v>127</v>
      </c>
    </row>
    <row r="44" spans="2:16" ht="13.8" thickBot="1" x14ac:dyDescent="0.3"/>
    <row r="45" spans="2:16" ht="14.4" thickBot="1" x14ac:dyDescent="0.3">
      <c r="B45" s="285" t="s">
        <v>128</v>
      </c>
      <c r="C45" s="286" t="str">
        <f>+C22</f>
        <v>01</v>
      </c>
      <c r="D45" s="287" t="str">
        <f t="shared" ref="D45:O45" si="5">+D22</f>
        <v>02</v>
      </c>
      <c r="E45" s="287" t="str">
        <f t="shared" si="5"/>
        <v>03</v>
      </c>
      <c r="F45" s="287" t="str">
        <f t="shared" si="5"/>
        <v>04</v>
      </c>
      <c r="G45" s="287" t="str">
        <f t="shared" si="5"/>
        <v>05</v>
      </c>
      <c r="H45" s="287" t="str">
        <f t="shared" si="5"/>
        <v>06</v>
      </c>
      <c r="I45" s="287" t="str">
        <f t="shared" si="5"/>
        <v>07</v>
      </c>
      <c r="J45" s="287" t="str">
        <f t="shared" si="5"/>
        <v>08</v>
      </c>
      <c r="K45" s="287" t="str">
        <f t="shared" si="5"/>
        <v>09</v>
      </c>
      <c r="L45" s="287" t="str">
        <f t="shared" si="5"/>
        <v>10</v>
      </c>
      <c r="M45" s="287" t="str">
        <f t="shared" si="5"/>
        <v>11</v>
      </c>
      <c r="N45" s="288" t="str">
        <f t="shared" si="5"/>
        <v>12</v>
      </c>
      <c r="O45" s="289" t="str">
        <f t="shared" si="5"/>
        <v>TOTAL</v>
      </c>
      <c r="P45" s="63"/>
    </row>
    <row r="46" spans="2:16" x14ac:dyDescent="0.25">
      <c r="B46" s="163"/>
      <c r="C46" s="166"/>
      <c r="D46" s="151"/>
      <c r="E46" s="151"/>
      <c r="F46" s="151"/>
      <c r="G46" s="151"/>
      <c r="H46" s="151"/>
      <c r="I46" s="151"/>
      <c r="J46" s="151"/>
      <c r="K46" s="151"/>
      <c r="L46" s="151"/>
      <c r="M46" s="151"/>
      <c r="N46" s="151"/>
      <c r="O46" s="169"/>
    </row>
    <row r="47" spans="2:16" x14ac:dyDescent="0.25">
      <c r="B47" s="165" t="s">
        <v>65</v>
      </c>
      <c r="C47" s="166">
        <f>+'Analisis General'!D16</f>
        <v>0</v>
      </c>
      <c r="D47" s="151">
        <f>+'Analisis General'!E16</f>
        <v>0</v>
      </c>
      <c r="E47" s="151">
        <f>+'Analisis General'!F16</f>
        <v>0</v>
      </c>
      <c r="F47" s="151">
        <f>+'Analisis General'!G16</f>
        <v>0</v>
      </c>
      <c r="G47" s="151">
        <f>+'Analisis General'!H16</f>
        <v>0</v>
      </c>
      <c r="H47" s="151">
        <f>+'Analisis General'!I16</f>
        <v>0</v>
      </c>
      <c r="I47" s="151">
        <f>+'Analisis General'!J16</f>
        <v>0</v>
      </c>
      <c r="J47" s="151">
        <f>+'Analisis General'!K16</f>
        <v>0</v>
      </c>
      <c r="K47" s="151">
        <f>+'Analisis General'!L16</f>
        <v>0</v>
      </c>
      <c r="L47" s="151">
        <f>+'Analisis General'!M16</f>
        <v>0</v>
      </c>
      <c r="M47" s="151">
        <f>+'Analisis General'!N16</f>
        <v>0</v>
      </c>
      <c r="N47" s="151">
        <f>+'Analisis General'!O16</f>
        <v>0</v>
      </c>
      <c r="O47" s="170">
        <f>SUM(C47:N47)</f>
        <v>0</v>
      </c>
    </row>
    <row r="48" spans="2:16" x14ac:dyDescent="0.25">
      <c r="B48" s="165" t="s">
        <v>112</v>
      </c>
      <c r="C48" s="166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70">
        <f t="shared" ref="O48:O59" si="6">SUM(C48:N48)</f>
        <v>0</v>
      </c>
    </row>
    <row r="49" spans="2:15" x14ac:dyDescent="0.25">
      <c r="B49" s="165" t="s">
        <v>70</v>
      </c>
      <c r="C49" s="166">
        <f>+'Analisis General'!D21</f>
        <v>0</v>
      </c>
      <c r="D49" s="151">
        <f>+'Analisis General'!E21</f>
        <v>0</v>
      </c>
      <c r="E49" s="151">
        <f>+'Analisis General'!F21</f>
        <v>0</v>
      </c>
      <c r="F49" s="151">
        <f>+'Analisis General'!G21</f>
        <v>0</v>
      </c>
      <c r="G49" s="151">
        <f>+'Analisis General'!H21</f>
        <v>0</v>
      </c>
      <c r="H49" s="151">
        <f>+'Analisis General'!I21</f>
        <v>0</v>
      </c>
      <c r="I49" s="151">
        <f>+'Analisis General'!J21</f>
        <v>0</v>
      </c>
      <c r="J49" s="151">
        <f>+'Analisis General'!K21</f>
        <v>0</v>
      </c>
      <c r="K49" s="151">
        <f>+'Analisis General'!L21</f>
        <v>0</v>
      </c>
      <c r="L49" s="151">
        <f>+'Analisis General'!M21</f>
        <v>0</v>
      </c>
      <c r="M49" s="151">
        <f>+'Analisis General'!N21</f>
        <v>0</v>
      </c>
      <c r="N49" s="151">
        <f>+'Analisis General'!O21</f>
        <v>0</v>
      </c>
      <c r="O49" s="170">
        <f t="shared" si="6"/>
        <v>0</v>
      </c>
    </row>
    <row r="50" spans="2:15" x14ac:dyDescent="0.25">
      <c r="B50" s="165" t="s">
        <v>112</v>
      </c>
      <c r="C50" s="166"/>
      <c r="D50" s="151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70">
        <f t="shared" si="6"/>
        <v>0</v>
      </c>
    </row>
    <row r="51" spans="2:15" x14ac:dyDescent="0.25">
      <c r="B51" s="165" t="s">
        <v>74</v>
      </c>
      <c r="C51" s="166">
        <f>+'Analisis General'!D26</f>
        <v>0</v>
      </c>
      <c r="D51" s="151">
        <f>+'Analisis General'!E26</f>
        <v>0</v>
      </c>
      <c r="E51" s="151">
        <f>+'Analisis General'!F26</f>
        <v>0</v>
      </c>
      <c r="F51" s="151">
        <f>+'Analisis General'!G26</f>
        <v>0</v>
      </c>
      <c r="G51" s="151">
        <f>+'Analisis General'!H26</f>
        <v>0</v>
      </c>
      <c r="H51" s="151">
        <f>+'Analisis General'!I26</f>
        <v>0</v>
      </c>
      <c r="I51" s="151">
        <f>+'Analisis General'!J26</f>
        <v>0</v>
      </c>
      <c r="J51" s="151">
        <f>+'Analisis General'!K26</f>
        <v>0</v>
      </c>
      <c r="K51" s="151">
        <f>+'Analisis General'!L26</f>
        <v>0</v>
      </c>
      <c r="L51" s="151">
        <f>+'Analisis General'!M26</f>
        <v>0</v>
      </c>
      <c r="M51" s="151">
        <f>+'Analisis General'!N26</f>
        <v>0</v>
      </c>
      <c r="N51" s="151">
        <f>+'Analisis General'!O26</f>
        <v>0</v>
      </c>
      <c r="O51" s="170">
        <f t="shared" si="6"/>
        <v>0</v>
      </c>
    </row>
    <row r="52" spans="2:15" x14ac:dyDescent="0.25">
      <c r="B52" s="165" t="s">
        <v>112</v>
      </c>
      <c r="C52" s="166"/>
      <c r="D52" s="151"/>
      <c r="E52" s="151"/>
      <c r="F52" s="151"/>
      <c r="G52" s="151"/>
      <c r="H52" s="151"/>
      <c r="I52" s="151"/>
      <c r="J52" s="151"/>
      <c r="K52" s="151"/>
      <c r="L52" s="151"/>
      <c r="M52" s="151"/>
      <c r="N52" s="151"/>
      <c r="O52" s="170">
        <f t="shared" si="6"/>
        <v>0</v>
      </c>
    </row>
    <row r="53" spans="2:15" x14ac:dyDescent="0.25">
      <c r="B53" s="165" t="s">
        <v>76</v>
      </c>
      <c r="C53" s="166">
        <f>+'Analisis General'!D30</f>
        <v>0</v>
      </c>
      <c r="D53" s="151">
        <f>+'Analisis General'!E30</f>
        <v>0</v>
      </c>
      <c r="E53" s="151">
        <f>+'Analisis General'!F30</f>
        <v>0</v>
      </c>
      <c r="F53" s="151">
        <f>+'Analisis General'!G30</f>
        <v>0</v>
      </c>
      <c r="G53" s="151">
        <f>+'Analisis General'!H30</f>
        <v>0</v>
      </c>
      <c r="H53" s="151">
        <f>+'Analisis General'!I30</f>
        <v>0</v>
      </c>
      <c r="I53" s="151">
        <f>+'Analisis General'!J30</f>
        <v>0</v>
      </c>
      <c r="J53" s="151">
        <f>+'Analisis General'!K30</f>
        <v>0</v>
      </c>
      <c r="K53" s="151">
        <f>+'Analisis General'!L30</f>
        <v>0</v>
      </c>
      <c r="L53" s="151">
        <f>+'Analisis General'!M30</f>
        <v>0</v>
      </c>
      <c r="M53" s="151">
        <f>+'Analisis General'!N30</f>
        <v>0</v>
      </c>
      <c r="N53" s="151">
        <f>+'Analisis General'!O30</f>
        <v>0</v>
      </c>
      <c r="O53" s="170">
        <f t="shared" si="6"/>
        <v>0</v>
      </c>
    </row>
    <row r="54" spans="2:15" x14ac:dyDescent="0.25">
      <c r="B54" s="165" t="s">
        <v>112</v>
      </c>
      <c r="C54" s="166"/>
      <c r="D54" s="151"/>
      <c r="E54" s="151"/>
      <c r="F54" s="151"/>
      <c r="G54" s="151"/>
      <c r="H54" s="151"/>
      <c r="I54" s="151"/>
      <c r="J54" s="151"/>
      <c r="K54" s="151"/>
      <c r="L54" s="151"/>
      <c r="M54" s="151"/>
      <c r="N54" s="151"/>
      <c r="O54" s="170">
        <f t="shared" si="6"/>
        <v>0</v>
      </c>
    </row>
    <row r="55" spans="2:15" x14ac:dyDescent="0.25">
      <c r="B55" s="165" t="s">
        <v>77</v>
      </c>
      <c r="C55" s="166">
        <f>+'Analisis General'!D31</f>
        <v>0</v>
      </c>
      <c r="D55" s="151">
        <f>+'Analisis General'!E31</f>
        <v>0</v>
      </c>
      <c r="E55" s="151">
        <f>+'Analisis General'!F31</f>
        <v>0</v>
      </c>
      <c r="F55" s="151">
        <f>+'Analisis General'!G31</f>
        <v>0</v>
      </c>
      <c r="G55" s="151">
        <f>+'Analisis General'!H31</f>
        <v>0</v>
      </c>
      <c r="H55" s="151">
        <f>+'Analisis General'!I31</f>
        <v>0</v>
      </c>
      <c r="I55" s="151">
        <f>+'Analisis General'!J31</f>
        <v>0</v>
      </c>
      <c r="J55" s="151">
        <f>+'Analisis General'!K31</f>
        <v>0</v>
      </c>
      <c r="K55" s="151">
        <f>+'Analisis General'!L31</f>
        <v>0</v>
      </c>
      <c r="L55" s="151">
        <f>+'Analisis General'!M31</f>
        <v>0</v>
      </c>
      <c r="M55" s="151">
        <f>+'Analisis General'!N31</f>
        <v>0</v>
      </c>
      <c r="N55" s="151">
        <f>+'Analisis General'!O31</f>
        <v>0</v>
      </c>
      <c r="O55" s="170">
        <f t="shared" si="6"/>
        <v>0</v>
      </c>
    </row>
    <row r="56" spans="2:15" x14ac:dyDescent="0.25">
      <c r="B56" s="165" t="s">
        <v>112</v>
      </c>
      <c r="C56" s="166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70">
        <f t="shared" si="6"/>
        <v>0</v>
      </c>
    </row>
    <row r="57" spans="2:15" x14ac:dyDescent="0.25">
      <c r="B57" s="165" t="s">
        <v>78</v>
      </c>
      <c r="C57" s="166">
        <f>+'Analisis General'!D32</f>
        <v>0</v>
      </c>
      <c r="D57" s="151">
        <f>+'Analisis General'!E32</f>
        <v>0</v>
      </c>
      <c r="E57" s="151">
        <f>+'Analisis General'!F32</f>
        <v>0</v>
      </c>
      <c r="F57" s="151">
        <f>+'Analisis General'!G32</f>
        <v>0</v>
      </c>
      <c r="G57" s="151">
        <f>+'Analisis General'!H32</f>
        <v>0</v>
      </c>
      <c r="H57" s="151">
        <f>+'Analisis General'!I32</f>
        <v>0</v>
      </c>
      <c r="I57" s="151">
        <f>+'Analisis General'!J32</f>
        <v>0</v>
      </c>
      <c r="J57" s="151">
        <f>+'Analisis General'!K32</f>
        <v>0</v>
      </c>
      <c r="K57" s="151">
        <f>+'Analisis General'!L32</f>
        <v>0</v>
      </c>
      <c r="L57" s="151">
        <f>+'Analisis General'!M32</f>
        <v>0</v>
      </c>
      <c r="M57" s="151">
        <f>+'Analisis General'!N32</f>
        <v>0</v>
      </c>
      <c r="N57" s="151">
        <f>+'Analisis General'!O32</f>
        <v>0</v>
      </c>
      <c r="O57" s="170">
        <f t="shared" si="6"/>
        <v>0</v>
      </c>
    </row>
    <row r="58" spans="2:15" ht="13.8" thickBot="1" x14ac:dyDescent="0.3">
      <c r="B58" s="165" t="s">
        <v>112</v>
      </c>
      <c r="C58" s="166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70">
        <f t="shared" si="6"/>
        <v>0</v>
      </c>
    </row>
    <row r="59" spans="2:15" s="47" customFormat="1" ht="13.8" thickBot="1" x14ac:dyDescent="0.3">
      <c r="B59" s="290" t="s">
        <v>129</v>
      </c>
      <c r="C59" s="291">
        <f>+C47+C49+C51+C53+C55+C57-C48-C50-C52-C54-C56-C58</f>
        <v>0</v>
      </c>
      <c r="D59" s="292">
        <f t="shared" ref="D59:N59" si="7">+D47+D49+D51+D53+D55+D57-D48-D50-D52-D54-D56-D58</f>
        <v>0</v>
      </c>
      <c r="E59" s="292">
        <f t="shared" si="7"/>
        <v>0</v>
      </c>
      <c r="F59" s="292">
        <f t="shared" si="7"/>
        <v>0</v>
      </c>
      <c r="G59" s="292">
        <f t="shared" si="7"/>
        <v>0</v>
      </c>
      <c r="H59" s="292">
        <f t="shared" si="7"/>
        <v>0</v>
      </c>
      <c r="I59" s="292">
        <f t="shared" si="7"/>
        <v>0</v>
      </c>
      <c r="J59" s="292">
        <f t="shared" si="7"/>
        <v>0</v>
      </c>
      <c r="K59" s="292">
        <f t="shared" si="7"/>
        <v>0</v>
      </c>
      <c r="L59" s="292">
        <f t="shared" si="7"/>
        <v>0</v>
      </c>
      <c r="M59" s="292">
        <f t="shared" si="7"/>
        <v>0</v>
      </c>
      <c r="N59" s="292">
        <f t="shared" si="7"/>
        <v>0</v>
      </c>
      <c r="O59" s="293">
        <f t="shared" si="6"/>
        <v>0</v>
      </c>
    </row>
    <row r="60" spans="2:15" x14ac:dyDescent="0.25">
      <c r="B60" s="163"/>
      <c r="C60" s="166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70"/>
    </row>
    <row r="61" spans="2:15" s="47" customFormat="1" ht="13.8" thickBot="1" x14ac:dyDescent="0.3">
      <c r="B61" s="164" t="s">
        <v>130</v>
      </c>
      <c r="C61" s="167">
        <f>+C29-C59</f>
        <v>0</v>
      </c>
      <c r="D61" s="168">
        <f t="shared" ref="D61:O61" si="8">+D29-D59</f>
        <v>0</v>
      </c>
      <c r="E61" s="168">
        <f t="shared" si="8"/>
        <v>0</v>
      </c>
      <c r="F61" s="168">
        <f t="shared" si="8"/>
        <v>0</v>
      </c>
      <c r="G61" s="168">
        <f t="shared" si="8"/>
        <v>0</v>
      </c>
      <c r="H61" s="168">
        <f t="shared" si="8"/>
        <v>0</v>
      </c>
      <c r="I61" s="168">
        <f t="shared" si="8"/>
        <v>0</v>
      </c>
      <c r="J61" s="168">
        <f t="shared" si="8"/>
        <v>0</v>
      </c>
      <c r="K61" s="168">
        <f t="shared" si="8"/>
        <v>0</v>
      </c>
      <c r="L61" s="168">
        <f t="shared" si="8"/>
        <v>0</v>
      </c>
      <c r="M61" s="168">
        <f t="shared" si="8"/>
        <v>0</v>
      </c>
      <c r="N61" s="168">
        <f t="shared" si="8"/>
        <v>0</v>
      </c>
      <c r="O61" s="171">
        <f t="shared" si="8"/>
        <v>0</v>
      </c>
    </row>
  </sheetData>
  <mergeCells count="20">
    <mergeCell ref="I34:P34"/>
    <mergeCell ref="I35:P35"/>
    <mergeCell ref="I38:P38"/>
    <mergeCell ref="I39:P39"/>
    <mergeCell ref="I40:P40"/>
    <mergeCell ref="B1:O1"/>
    <mergeCell ref="B9:C9"/>
    <mergeCell ref="M2:N3"/>
    <mergeCell ref="I10:P10"/>
    <mergeCell ref="I11:P11"/>
    <mergeCell ref="I12:P12"/>
    <mergeCell ref="I13:P13"/>
    <mergeCell ref="I14:P14"/>
    <mergeCell ref="I15:P15"/>
    <mergeCell ref="I16:P16"/>
    <mergeCell ref="I36:P36"/>
    <mergeCell ref="I37:P37"/>
    <mergeCell ref="I17:P17"/>
    <mergeCell ref="B32:C32"/>
    <mergeCell ref="I33:P33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-0.249977111117893"/>
  </sheetPr>
  <dimension ref="A1:IS3680"/>
  <sheetViews>
    <sheetView showGridLines="0" zoomScale="70" zoomScaleNormal="70" workbookViewId="0">
      <selection activeCell="B25" sqref="B25:N27"/>
    </sheetView>
  </sheetViews>
  <sheetFormatPr baseColWidth="10" defaultColWidth="11.44140625" defaultRowHeight="13.2" x14ac:dyDescent="0.25"/>
  <cols>
    <col min="1" max="1" width="4.5546875" customWidth="1"/>
    <col min="2" max="2" width="17.88671875" bestFit="1" customWidth="1"/>
    <col min="3" max="3" width="23" bestFit="1" customWidth="1"/>
    <col min="4" max="4" width="17.109375" customWidth="1"/>
    <col min="5" max="5" width="14" customWidth="1"/>
    <col min="6" max="6" width="13.109375" customWidth="1"/>
    <col min="7" max="7" width="13.109375" bestFit="1" customWidth="1"/>
    <col min="8" max="8" width="12.5546875" style="306" customWidth="1"/>
    <col min="9" max="9" width="13.5546875" customWidth="1"/>
    <col min="10" max="10" width="12.5546875" customWidth="1"/>
    <col min="11" max="11" width="12.44140625" customWidth="1"/>
    <col min="12" max="12" width="14" style="306" customWidth="1"/>
    <col min="13" max="13" width="11.5546875" customWidth="1"/>
    <col min="14" max="14" width="12.109375" customWidth="1"/>
    <col min="15" max="15" width="13" customWidth="1"/>
    <col min="16" max="22" width="9.109375" customWidth="1"/>
    <col min="23" max="23" width="8.109375" customWidth="1"/>
    <col min="24" max="28" width="9.109375" customWidth="1"/>
    <col min="29" max="31" width="8.109375" customWidth="1"/>
    <col min="32" max="34" width="9.109375" customWidth="1"/>
    <col min="35" max="38" width="8.109375" customWidth="1"/>
    <col min="39" max="46" width="9.109375" customWidth="1"/>
    <col min="47" max="47" width="8.109375" customWidth="1"/>
    <col min="48" max="51" width="10.109375" customWidth="1"/>
    <col min="52" max="52" width="9.109375" customWidth="1"/>
    <col min="53" max="56" width="10.109375" customWidth="1"/>
    <col min="57" max="59" width="9.109375" customWidth="1"/>
    <col min="60" max="64" width="10.109375" customWidth="1"/>
    <col min="65" max="70" width="9.109375" customWidth="1"/>
    <col min="71" max="72" width="8.109375" customWidth="1"/>
    <col min="73" max="75" width="9.109375" customWidth="1"/>
    <col min="76" max="77" width="8.109375" customWidth="1"/>
    <col min="78" max="78" width="12.44140625" customWidth="1"/>
    <col min="79" max="79" width="12.44140625" bestFit="1" customWidth="1"/>
  </cols>
  <sheetData>
    <row r="1" spans="1:253" ht="16.2" thickBot="1" x14ac:dyDescent="0.35">
      <c r="B1" s="502" t="s">
        <v>131</v>
      </c>
      <c r="C1" s="503"/>
      <c r="D1" s="504"/>
      <c r="E1" s="504"/>
      <c r="F1" s="504"/>
      <c r="G1" s="504"/>
      <c r="H1" s="504"/>
      <c r="I1" s="504"/>
      <c r="J1" s="504"/>
      <c r="K1" s="504"/>
      <c r="L1" s="503"/>
      <c r="M1" s="503"/>
      <c r="N1" s="503"/>
      <c r="O1" s="505"/>
    </row>
    <row r="2" spans="1:253" ht="13.5" customHeight="1" x14ac:dyDescent="0.25">
      <c r="B2" s="56" t="s">
        <v>34</v>
      </c>
      <c r="C2">
        <f>Títulos!B2</f>
        <v>0</v>
      </c>
      <c r="D2" s="294" t="e">
        <f>+#REF!</f>
        <v>#REF!</v>
      </c>
      <c r="E2" s="294"/>
      <c r="F2" s="294"/>
      <c r="G2" s="294"/>
      <c r="H2" s="294"/>
      <c r="I2" s="294"/>
      <c r="J2" s="294"/>
      <c r="K2" s="294"/>
      <c r="L2"/>
    </row>
    <row r="3" spans="1:253" ht="13.5" customHeight="1" x14ac:dyDescent="0.25">
      <c r="B3" s="56" t="s">
        <v>50</v>
      </c>
      <c r="C3" s="59">
        <f>Títulos!F2</f>
        <v>0</v>
      </c>
      <c r="D3" s="295" t="e">
        <f>+#REF!</f>
        <v>#REF!</v>
      </c>
      <c r="E3" s="295"/>
      <c r="F3" s="295"/>
      <c r="G3" s="295"/>
      <c r="H3" s="295"/>
      <c r="I3" s="295"/>
      <c r="J3" s="295"/>
      <c r="K3" s="295"/>
      <c r="L3"/>
    </row>
    <row r="4" spans="1:253" ht="13.8" x14ac:dyDescent="0.25">
      <c r="B4" s="56" t="s">
        <v>51</v>
      </c>
      <c r="C4" s="59">
        <f>Títulos!B4</f>
        <v>46022</v>
      </c>
      <c r="D4" s="296" t="e">
        <f>+#REF!</f>
        <v>#REF!</v>
      </c>
      <c r="E4" s="296"/>
      <c r="F4" s="296"/>
      <c r="G4" s="296"/>
      <c r="H4" s="296"/>
      <c r="I4" s="296"/>
      <c r="J4" s="296"/>
      <c r="K4" s="296"/>
      <c r="L4"/>
    </row>
    <row r="5" spans="1:253" ht="13.8" x14ac:dyDescent="0.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</row>
    <row r="6" spans="1:253" ht="13.8" x14ac:dyDescent="0.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</row>
    <row r="7" spans="1:253" ht="13.8" x14ac:dyDescent="0.3">
      <c r="A7" s="21"/>
      <c r="H7"/>
      <c r="L7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</row>
    <row r="8" spans="1:253" ht="13.8" x14ac:dyDescent="0.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</row>
    <row r="9" spans="1:253" ht="13.8" x14ac:dyDescent="0.3">
      <c r="A9" s="21"/>
      <c r="H9"/>
      <c r="L9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</row>
    <row r="10" spans="1:253" ht="15.6" x14ac:dyDescent="0.3">
      <c r="A10" s="21"/>
      <c r="B10" s="297" t="s">
        <v>117</v>
      </c>
      <c r="C10" s="298" t="str">
        <f>TEXT('Analisis General'!D$7,"mm")</f>
        <v>01</v>
      </c>
      <c r="D10" s="298" t="str">
        <f>TEXT('Analisis General'!E$7,"mm")</f>
        <v>02</v>
      </c>
      <c r="E10" s="298" t="str">
        <f>TEXT('Analisis General'!F$7,"mm")</f>
        <v>03</v>
      </c>
      <c r="F10" s="298" t="str">
        <f>TEXT('Analisis General'!G$7,"mm")</f>
        <v>04</v>
      </c>
      <c r="G10" s="298" t="str">
        <f>TEXT('Analisis General'!H$7,"mm")</f>
        <v>05</v>
      </c>
      <c r="H10" s="298" t="str">
        <f>TEXT('Analisis General'!I$7,"mm")</f>
        <v>06</v>
      </c>
      <c r="I10" s="298" t="str">
        <f>TEXT('Analisis General'!J$7,"mm")</f>
        <v>07</v>
      </c>
      <c r="J10" s="298" t="str">
        <f>TEXT('Analisis General'!K$7,"mm")</f>
        <v>08</v>
      </c>
      <c r="K10" s="298" t="str">
        <f>TEXT('Analisis General'!L$7,"mm")</f>
        <v>09</v>
      </c>
      <c r="L10" s="298" t="str">
        <f>TEXT('Analisis General'!M$7,"mm")</f>
        <v>10</v>
      </c>
      <c r="M10" s="298" t="str">
        <f>TEXT('Analisis General'!N$7,"mm")</f>
        <v>11</v>
      </c>
      <c r="N10" s="298" t="str">
        <f>TEXT('Analisis General'!O$7,"mm")</f>
        <v>12</v>
      </c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</row>
    <row r="11" spans="1:253" ht="13.8" x14ac:dyDescent="0.3">
      <c r="A11" s="21"/>
      <c r="B11" s="136"/>
      <c r="H11"/>
      <c r="L1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</row>
    <row r="12" spans="1:253" s="54" customFormat="1" ht="13.8" x14ac:dyDescent="0.3">
      <c r="A12" s="137"/>
      <c r="B12" s="299" t="s">
        <v>132</v>
      </c>
      <c r="C12" s="300">
        <f t="shared" ref="C12:N12" si="0">SUMIF($O25:$O246,C$10,$L25:$L247)</f>
        <v>0</v>
      </c>
      <c r="D12" s="300">
        <f t="shared" si="0"/>
        <v>0</v>
      </c>
      <c r="E12" s="300">
        <f t="shared" si="0"/>
        <v>0</v>
      </c>
      <c r="F12" s="300">
        <f t="shared" si="0"/>
        <v>0</v>
      </c>
      <c r="G12" s="300">
        <f t="shared" si="0"/>
        <v>0</v>
      </c>
      <c r="H12" s="300">
        <f t="shared" si="0"/>
        <v>0</v>
      </c>
      <c r="I12" s="300">
        <f t="shared" si="0"/>
        <v>0</v>
      </c>
      <c r="J12" s="300">
        <f t="shared" si="0"/>
        <v>0</v>
      </c>
      <c r="K12" s="300">
        <f t="shared" si="0"/>
        <v>0</v>
      </c>
      <c r="L12" s="300">
        <f t="shared" si="0"/>
        <v>0</v>
      </c>
      <c r="M12" s="300">
        <f t="shared" si="0"/>
        <v>0</v>
      </c>
      <c r="N12" s="300">
        <f t="shared" si="0"/>
        <v>0</v>
      </c>
      <c r="CB12" s="137"/>
      <c r="CC12" s="137"/>
      <c r="CD12" s="137"/>
      <c r="CE12" s="137"/>
      <c r="CF12" s="137"/>
      <c r="CG12" s="137"/>
      <c r="CH12" s="137"/>
      <c r="CI12" s="137"/>
      <c r="CJ12" s="137"/>
      <c r="CK12" s="137"/>
      <c r="CL12" s="137"/>
      <c r="CM12" s="137"/>
      <c r="CN12" s="137"/>
      <c r="CO12" s="137"/>
      <c r="CP12" s="137"/>
      <c r="CQ12" s="137"/>
      <c r="CR12" s="137"/>
      <c r="CS12" s="137"/>
      <c r="CT12" s="137"/>
      <c r="CU12" s="137"/>
      <c r="CV12" s="137"/>
      <c r="CW12" s="137"/>
      <c r="CX12" s="137"/>
      <c r="CY12" s="137"/>
      <c r="CZ12" s="137"/>
      <c r="DA12" s="137"/>
      <c r="DB12" s="137"/>
      <c r="DC12" s="137"/>
      <c r="DD12" s="137"/>
      <c r="DE12" s="137"/>
      <c r="DF12" s="137"/>
      <c r="DG12" s="137"/>
      <c r="DH12" s="137"/>
      <c r="DI12" s="137"/>
      <c r="DJ12" s="137"/>
      <c r="DK12" s="137"/>
      <c r="DL12" s="137"/>
      <c r="DM12" s="137"/>
      <c r="DN12" s="137"/>
      <c r="DO12" s="137"/>
      <c r="DP12" s="137"/>
      <c r="DQ12" s="137"/>
      <c r="DR12" s="137"/>
      <c r="DS12" s="137"/>
      <c r="DT12" s="137"/>
      <c r="DU12" s="137"/>
      <c r="DV12" s="137"/>
      <c r="DW12" s="137"/>
      <c r="DX12" s="137"/>
      <c r="DY12" s="137"/>
      <c r="DZ12" s="137"/>
      <c r="EA12" s="137"/>
      <c r="EB12" s="137"/>
      <c r="EC12" s="137"/>
      <c r="ED12" s="137"/>
      <c r="EE12" s="137"/>
      <c r="EF12" s="137"/>
      <c r="EG12" s="137"/>
      <c r="EH12" s="137"/>
      <c r="EI12" s="137"/>
      <c r="EJ12" s="137"/>
      <c r="EK12" s="137"/>
      <c r="EL12" s="137"/>
      <c r="EM12" s="137"/>
      <c r="EN12" s="137"/>
      <c r="EO12" s="137"/>
      <c r="EP12" s="137"/>
      <c r="EQ12" s="137"/>
      <c r="ER12" s="137"/>
      <c r="ES12" s="137"/>
      <c r="ET12" s="137"/>
      <c r="EU12" s="137"/>
      <c r="EV12" s="137"/>
      <c r="EW12" s="137"/>
      <c r="EX12" s="137"/>
      <c r="EY12" s="137"/>
      <c r="EZ12" s="137"/>
      <c r="FA12" s="137"/>
      <c r="FB12" s="137"/>
      <c r="FC12" s="137"/>
      <c r="FD12" s="137"/>
      <c r="FE12" s="137"/>
      <c r="FF12" s="137"/>
      <c r="FG12" s="137"/>
      <c r="FH12" s="137"/>
      <c r="FI12" s="137"/>
      <c r="FJ12" s="137"/>
      <c r="FK12" s="137"/>
      <c r="FL12" s="137"/>
      <c r="FM12" s="137"/>
      <c r="FN12" s="137"/>
      <c r="FO12" s="137"/>
      <c r="FP12" s="137"/>
      <c r="FQ12" s="137"/>
      <c r="FR12" s="137"/>
      <c r="FS12" s="137"/>
      <c r="FT12" s="137"/>
      <c r="FU12" s="137"/>
      <c r="FV12" s="137"/>
      <c r="FW12" s="137"/>
      <c r="FX12" s="137"/>
      <c r="FY12" s="137"/>
      <c r="FZ12" s="137"/>
      <c r="GA12" s="137"/>
      <c r="GB12" s="137"/>
      <c r="GC12" s="137"/>
      <c r="GD12" s="137"/>
      <c r="GE12" s="137"/>
      <c r="GF12" s="137"/>
      <c r="GG12" s="137"/>
      <c r="GH12" s="137"/>
      <c r="GI12" s="137"/>
      <c r="GJ12" s="137"/>
      <c r="GK12" s="137"/>
      <c r="GL12" s="137"/>
      <c r="GM12" s="137"/>
      <c r="GN12" s="137"/>
      <c r="GO12" s="137"/>
      <c r="GP12" s="137"/>
      <c r="GQ12" s="137"/>
      <c r="GR12" s="137"/>
      <c r="GS12" s="137"/>
      <c r="GT12" s="137"/>
      <c r="GU12" s="137"/>
      <c r="GV12" s="137"/>
      <c r="GW12" s="137"/>
      <c r="GX12" s="137"/>
      <c r="GY12" s="137"/>
      <c r="GZ12" s="137"/>
      <c r="HA12" s="137"/>
      <c r="HB12" s="137"/>
      <c r="HC12" s="137"/>
      <c r="HD12" s="137"/>
      <c r="HE12" s="137"/>
      <c r="HF12" s="137"/>
      <c r="HG12" s="137"/>
      <c r="HH12" s="137"/>
      <c r="HI12" s="137"/>
      <c r="HJ12" s="137"/>
      <c r="HK12" s="137"/>
      <c r="HL12" s="137"/>
      <c r="HM12" s="137"/>
      <c r="HN12" s="137"/>
      <c r="HO12" s="137"/>
      <c r="HP12" s="137"/>
      <c r="HQ12" s="137"/>
      <c r="HR12" s="137"/>
      <c r="HS12" s="137"/>
      <c r="HT12" s="137"/>
      <c r="HU12" s="137"/>
      <c r="HV12" s="137"/>
      <c r="HW12" s="137"/>
      <c r="HX12" s="137"/>
      <c r="HY12" s="137"/>
      <c r="HZ12" s="137"/>
      <c r="IA12" s="137"/>
      <c r="IB12" s="137"/>
      <c r="IC12" s="137"/>
      <c r="ID12" s="137"/>
      <c r="IE12" s="137"/>
      <c r="IF12" s="137"/>
      <c r="IG12" s="137"/>
      <c r="IH12" s="137"/>
      <c r="II12" s="137"/>
      <c r="IJ12" s="137"/>
      <c r="IK12" s="137"/>
      <c r="IL12" s="137"/>
      <c r="IM12" s="137"/>
      <c r="IN12" s="137"/>
      <c r="IO12" s="137"/>
      <c r="IP12" s="137"/>
      <c r="IQ12" s="137"/>
      <c r="IR12" s="137"/>
      <c r="IS12" s="137"/>
    </row>
    <row r="13" spans="1:253" s="54" customFormat="1" ht="13.8" x14ac:dyDescent="0.3">
      <c r="A13" s="137"/>
      <c r="B13" s="138"/>
      <c r="CB13" s="137"/>
      <c r="CC13" s="137"/>
      <c r="CD13" s="137"/>
      <c r="CE13" s="137"/>
      <c r="CF13" s="137"/>
      <c r="CG13" s="137"/>
      <c r="CH13" s="137"/>
      <c r="CI13" s="137"/>
      <c r="CJ13" s="137"/>
      <c r="CK13" s="137"/>
      <c r="CL13" s="137"/>
      <c r="CM13" s="137"/>
      <c r="CN13" s="137"/>
      <c r="CO13" s="137"/>
      <c r="CP13" s="137"/>
      <c r="CQ13" s="137"/>
      <c r="CR13" s="137"/>
      <c r="CS13" s="137"/>
      <c r="CT13" s="137"/>
      <c r="CU13" s="137"/>
      <c r="CV13" s="137"/>
      <c r="CW13" s="137"/>
      <c r="CX13" s="137"/>
      <c r="CY13" s="137"/>
      <c r="CZ13" s="137"/>
      <c r="DA13" s="137"/>
      <c r="DB13" s="137"/>
      <c r="DC13" s="137"/>
      <c r="DD13" s="137"/>
      <c r="DE13" s="137"/>
      <c r="DF13" s="137"/>
      <c r="DG13" s="137"/>
      <c r="DH13" s="137"/>
      <c r="DI13" s="137"/>
      <c r="DJ13" s="137"/>
      <c r="DK13" s="137"/>
      <c r="DL13" s="137"/>
      <c r="DM13" s="137"/>
      <c r="DN13" s="137"/>
      <c r="DO13" s="137"/>
      <c r="DP13" s="137"/>
      <c r="DQ13" s="137"/>
      <c r="DR13" s="137"/>
      <c r="DS13" s="137"/>
      <c r="DT13" s="137"/>
      <c r="DU13" s="137"/>
      <c r="DV13" s="137"/>
      <c r="DW13" s="137"/>
      <c r="DX13" s="137"/>
      <c r="DY13" s="137"/>
      <c r="DZ13" s="137"/>
      <c r="EA13" s="137"/>
      <c r="EB13" s="137"/>
      <c r="EC13" s="137"/>
      <c r="ED13" s="137"/>
      <c r="EE13" s="137"/>
      <c r="EF13" s="137"/>
      <c r="EG13" s="137"/>
      <c r="EH13" s="137"/>
      <c r="EI13" s="137"/>
      <c r="EJ13" s="137"/>
      <c r="EK13" s="137"/>
      <c r="EL13" s="137"/>
      <c r="EM13" s="137"/>
      <c r="EN13" s="137"/>
      <c r="EO13" s="137"/>
      <c r="EP13" s="137"/>
      <c r="EQ13" s="137"/>
      <c r="ER13" s="137"/>
      <c r="ES13" s="137"/>
      <c r="ET13" s="137"/>
      <c r="EU13" s="137"/>
      <c r="EV13" s="137"/>
      <c r="EW13" s="137"/>
      <c r="EX13" s="137"/>
      <c r="EY13" s="137"/>
      <c r="EZ13" s="137"/>
      <c r="FA13" s="137"/>
      <c r="FB13" s="137"/>
      <c r="FC13" s="137"/>
      <c r="FD13" s="137"/>
      <c r="FE13" s="137"/>
      <c r="FF13" s="137"/>
      <c r="FG13" s="137"/>
      <c r="FH13" s="137"/>
      <c r="FI13" s="137"/>
      <c r="FJ13" s="137"/>
      <c r="FK13" s="137"/>
      <c r="FL13" s="137"/>
      <c r="FM13" s="137"/>
      <c r="FN13" s="137"/>
      <c r="FO13" s="137"/>
      <c r="FP13" s="137"/>
      <c r="FQ13" s="137"/>
      <c r="FR13" s="137"/>
      <c r="FS13" s="137"/>
      <c r="FT13" s="137"/>
      <c r="FU13" s="137"/>
      <c r="FV13" s="137"/>
      <c r="FW13" s="137"/>
      <c r="FX13" s="137"/>
      <c r="FY13" s="137"/>
      <c r="FZ13" s="137"/>
      <c r="GA13" s="137"/>
      <c r="GB13" s="137"/>
      <c r="GC13" s="137"/>
      <c r="GD13" s="137"/>
      <c r="GE13" s="137"/>
      <c r="GF13" s="137"/>
      <c r="GG13" s="137"/>
      <c r="GH13" s="137"/>
      <c r="GI13" s="137"/>
      <c r="GJ13" s="137"/>
      <c r="GK13" s="137"/>
      <c r="GL13" s="137"/>
      <c r="GM13" s="137"/>
      <c r="GN13" s="137"/>
      <c r="GO13" s="137"/>
      <c r="GP13" s="137"/>
      <c r="GQ13" s="137"/>
      <c r="GR13" s="137"/>
      <c r="GS13" s="137"/>
      <c r="GT13" s="137"/>
      <c r="GU13" s="137"/>
      <c r="GV13" s="137"/>
      <c r="GW13" s="137"/>
      <c r="GX13" s="137"/>
      <c r="GY13" s="137"/>
      <c r="GZ13" s="137"/>
      <c r="HA13" s="137"/>
      <c r="HB13" s="137"/>
      <c r="HC13" s="137"/>
      <c r="HD13" s="137"/>
      <c r="HE13" s="137"/>
      <c r="HF13" s="137"/>
      <c r="HG13" s="137"/>
      <c r="HH13" s="137"/>
      <c r="HI13" s="137"/>
      <c r="HJ13" s="137"/>
      <c r="HK13" s="137"/>
      <c r="HL13" s="137"/>
      <c r="HM13" s="137"/>
      <c r="HN13" s="137"/>
      <c r="HO13" s="137"/>
      <c r="HP13" s="137"/>
      <c r="HQ13" s="137"/>
      <c r="HR13" s="137"/>
      <c r="HS13" s="137"/>
      <c r="HT13" s="137"/>
      <c r="HU13" s="137"/>
      <c r="HV13" s="137"/>
      <c r="HW13" s="137"/>
      <c r="HX13" s="137"/>
      <c r="HY13" s="137"/>
      <c r="HZ13" s="137"/>
      <c r="IA13" s="137"/>
      <c r="IB13" s="137"/>
      <c r="IC13" s="137"/>
      <c r="ID13" s="137"/>
      <c r="IE13" s="137"/>
      <c r="IF13" s="137"/>
      <c r="IG13" s="137"/>
      <c r="IH13" s="137"/>
      <c r="II13" s="137"/>
      <c r="IJ13" s="137"/>
      <c r="IK13" s="137"/>
      <c r="IL13" s="137"/>
      <c r="IM13" s="137"/>
      <c r="IN13" s="137"/>
      <c r="IO13" s="137"/>
      <c r="IP13" s="137"/>
      <c r="IQ13" s="137"/>
      <c r="IR13" s="137"/>
      <c r="IS13" s="137"/>
    </row>
    <row r="14" spans="1:253" s="53" customFormat="1" x14ac:dyDescent="0.25">
      <c r="B14" s="138" t="s">
        <v>133</v>
      </c>
      <c r="C14" s="53">
        <f>+'Analisis General'!D20+'Analisis General'!D29</f>
        <v>0</v>
      </c>
      <c r="D14" s="53">
        <f>+'Analisis General'!E20+'Analisis General'!E29</f>
        <v>0</v>
      </c>
      <c r="E14" s="53">
        <f>+'Analisis General'!F20+'Analisis General'!F29</f>
        <v>0</v>
      </c>
      <c r="F14" s="53">
        <f>+'Analisis General'!G20+'Analisis General'!G29</f>
        <v>0</v>
      </c>
      <c r="G14" s="53">
        <f>+'Analisis General'!H20+'Analisis General'!H29</f>
        <v>0</v>
      </c>
      <c r="H14" s="53">
        <f>+'Analisis General'!I20+'Analisis General'!I29</f>
        <v>0</v>
      </c>
      <c r="I14" s="53">
        <f>+'Analisis General'!J20+'Analisis General'!J29</f>
        <v>0</v>
      </c>
      <c r="J14" s="53">
        <f>+'Analisis General'!K20+'Analisis General'!K29</f>
        <v>0</v>
      </c>
      <c r="K14" s="53">
        <f>+'Analisis General'!L20+'Analisis General'!L29</f>
        <v>0</v>
      </c>
      <c r="L14" s="53">
        <f>+'Analisis General'!M20+'Analisis General'!M29</f>
        <v>0</v>
      </c>
      <c r="M14" s="53">
        <f>+'Analisis General'!N20+'Analisis General'!N29</f>
        <v>0</v>
      </c>
      <c r="N14" s="53">
        <f>+'Analisis General'!O20+'Analisis General'!O29</f>
        <v>0</v>
      </c>
      <c r="O14" s="53">
        <f>SUM(C14:N14)</f>
        <v>0</v>
      </c>
    </row>
    <row r="15" spans="1:253" s="53" customFormat="1" x14ac:dyDescent="0.25">
      <c r="B15" s="138"/>
    </row>
    <row r="16" spans="1:253" s="53" customFormat="1" x14ac:dyDescent="0.25">
      <c r="B16" s="138" t="s">
        <v>134</v>
      </c>
      <c r="C16" s="53">
        <f t="shared" ref="C16:N16" si="1">+C12-C14</f>
        <v>0</v>
      </c>
      <c r="D16" s="53">
        <f t="shared" si="1"/>
        <v>0</v>
      </c>
      <c r="E16" s="53">
        <f t="shared" si="1"/>
        <v>0</v>
      </c>
      <c r="F16" s="53">
        <f t="shared" si="1"/>
        <v>0</v>
      </c>
      <c r="G16" s="53">
        <f t="shared" si="1"/>
        <v>0</v>
      </c>
      <c r="H16" s="53">
        <f t="shared" si="1"/>
        <v>0</v>
      </c>
      <c r="I16" s="53">
        <f t="shared" si="1"/>
        <v>0</v>
      </c>
      <c r="J16" s="53">
        <f t="shared" si="1"/>
        <v>0</v>
      </c>
      <c r="K16" s="53">
        <f t="shared" si="1"/>
        <v>0</v>
      </c>
      <c r="L16" s="53">
        <f t="shared" si="1"/>
        <v>0</v>
      </c>
      <c r="M16" s="53">
        <f t="shared" si="1"/>
        <v>0</v>
      </c>
      <c r="N16" s="53">
        <f t="shared" si="1"/>
        <v>0</v>
      </c>
      <c r="O16" s="53">
        <f t="shared" ref="O16:O18" si="2">SUM(C16:N16)</f>
        <v>0</v>
      </c>
    </row>
    <row r="17" spans="1:253" s="53" customFormat="1" x14ac:dyDescent="0.25">
      <c r="B17" s="138"/>
    </row>
    <row r="18" spans="1:253" s="53" customFormat="1" x14ac:dyDescent="0.25">
      <c r="B18" s="138" t="s">
        <v>135</v>
      </c>
      <c r="C18" s="53">
        <f>+C16</f>
        <v>0</v>
      </c>
      <c r="D18" s="53">
        <f t="shared" ref="D18:N18" si="3">+D16</f>
        <v>0</v>
      </c>
      <c r="E18" s="53">
        <f t="shared" si="3"/>
        <v>0</v>
      </c>
      <c r="F18" s="53">
        <f t="shared" si="3"/>
        <v>0</v>
      </c>
      <c r="G18" s="53">
        <f t="shared" si="3"/>
        <v>0</v>
      </c>
      <c r="H18" s="53">
        <f t="shared" si="3"/>
        <v>0</v>
      </c>
      <c r="I18" s="53">
        <f t="shared" si="3"/>
        <v>0</v>
      </c>
      <c r="J18" s="53">
        <f t="shared" si="3"/>
        <v>0</v>
      </c>
      <c r="K18" s="53">
        <f t="shared" si="3"/>
        <v>0</v>
      </c>
      <c r="L18" s="53">
        <f t="shared" si="3"/>
        <v>0</v>
      </c>
      <c r="M18" s="53">
        <f t="shared" si="3"/>
        <v>0</v>
      </c>
      <c r="N18" s="53">
        <f t="shared" si="3"/>
        <v>0</v>
      </c>
      <c r="O18" s="53">
        <f t="shared" si="2"/>
        <v>0</v>
      </c>
    </row>
    <row r="19" spans="1:253" s="53" customFormat="1" x14ac:dyDescent="0.25">
      <c r="B19" s="138"/>
    </row>
    <row r="20" spans="1:253" s="53" customFormat="1" x14ac:dyDescent="0.25">
      <c r="B20" s="138" t="s">
        <v>136</v>
      </c>
    </row>
    <row r="21" spans="1:253" s="53" customFormat="1" x14ac:dyDescent="0.25">
      <c r="B21" s="138"/>
    </row>
    <row r="22" spans="1:253" s="54" customFormat="1" ht="13.8" x14ac:dyDescent="0.3">
      <c r="A22" s="137"/>
      <c r="B22" s="138" t="s">
        <v>54</v>
      </c>
      <c r="C22" s="53">
        <f>+C20-C18</f>
        <v>0</v>
      </c>
      <c r="D22" s="53">
        <f t="shared" ref="D22:O22" si="4">+D20-D18</f>
        <v>0</v>
      </c>
      <c r="E22" s="53">
        <f t="shared" si="4"/>
        <v>0</v>
      </c>
      <c r="F22" s="53">
        <f t="shared" si="4"/>
        <v>0</v>
      </c>
      <c r="G22" s="53">
        <f t="shared" si="4"/>
        <v>0</v>
      </c>
      <c r="H22" s="53">
        <f t="shared" si="4"/>
        <v>0</v>
      </c>
      <c r="I22" s="53">
        <f t="shared" si="4"/>
        <v>0</v>
      </c>
      <c r="J22" s="53">
        <f t="shared" si="4"/>
        <v>0</v>
      </c>
      <c r="K22" s="53">
        <f t="shared" si="4"/>
        <v>0</v>
      </c>
      <c r="L22" s="53">
        <f t="shared" si="4"/>
        <v>0</v>
      </c>
      <c r="M22" s="53">
        <f t="shared" si="4"/>
        <v>0</v>
      </c>
      <c r="N22" s="53">
        <f t="shared" si="4"/>
        <v>0</v>
      </c>
      <c r="O22" s="53">
        <f t="shared" si="4"/>
        <v>0</v>
      </c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W22" s="137"/>
      <c r="AX22" s="137"/>
      <c r="AY22" s="137"/>
      <c r="AZ22" s="137"/>
      <c r="BA22" s="137"/>
      <c r="BB22" s="137"/>
      <c r="BC22" s="137"/>
      <c r="BD22" s="137"/>
      <c r="BE22" s="137"/>
      <c r="BF22" s="137"/>
      <c r="BG22" s="137"/>
      <c r="BH22" s="137"/>
      <c r="BI22" s="137"/>
      <c r="BJ22" s="137"/>
      <c r="BK22" s="137"/>
      <c r="BL22" s="137"/>
      <c r="BM22" s="137"/>
      <c r="BN22" s="137"/>
      <c r="BO22" s="137"/>
      <c r="BP22" s="137"/>
      <c r="BQ22" s="137"/>
      <c r="BR22" s="137"/>
      <c r="BS22" s="137"/>
      <c r="BT22" s="137"/>
      <c r="BU22" s="137"/>
      <c r="BV22" s="137"/>
      <c r="BW22" s="137"/>
      <c r="BX22" s="137"/>
      <c r="BY22" s="137"/>
      <c r="BZ22" s="137"/>
      <c r="CA22" s="137"/>
      <c r="CB22" s="137"/>
      <c r="CC22" s="137"/>
      <c r="CD22" s="137"/>
      <c r="CE22" s="137"/>
      <c r="CF22" s="137"/>
      <c r="CG22" s="137"/>
      <c r="CH22" s="137"/>
      <c r="CI22" s="137"/>
      <c r="CJ22" s="137"/>
      <c r="CK22" s="137"/>
      <c r="CL22" s="137"/>
      <c r="CM22" s="137"/>
      <c r="CN22" s="137"/>
      <c r="CO22" s="137"/>
      <c r="CP22" s="137"/>
      <c r="CQ22" s="137"/>
      <c r="CR22" s="137"/>
      <c r="CS22" s="137"/>
      <c r="CT22" s="137"/>
      <c r="CU22" s="137"/>
      <c r="CV22" s="137"/>
      <c r="CW22" s="137"/>
      <c r="CX22" s="137"/>
      <c r="CY22" s="137"/>
      <c r="CZ22" s="137"/>
      <c r="DA22" s="137"/>
      <c r="DB22" s="137"/>
      <c r="DC22" s="137"/>
      <c r="DD22" s="137"/>
      <c r="DE22" s="137"/>
      <c r="DF22" s="137"/>
      <c r="DG22" s="137"/>
      <c r="DH22" s="137"/>
      <c r="DI22" s="137"/>
      <c r="DJ22" s="137"/>
      <c r="DK22" s="137"/>
      <c r="DL22" s="137"/>
      <c r="DM22" s="137"/>
      <c r="DN22" s="137"/>
      <c r="DO22" s="137"/>
      <c r="DP22" s="137"/>
      <c r="DQ22" s="137"/>
      <c r="DR22" s="137"/>
      <c r="DS22" s="137"/>
      <c r="DT22" s="137"/>
      <c r="DU22" s="137"/>
      <c r="DV22" s="137"/>
      <c r="DW22" s="137"/>
      <c r="DX22" s="137"/>
      <c r="DY22" s="137"/>
      <c r="DZ22" s="137"/>
      <c r="EA22" s="137"/>
      <c r="EB22" s="137"/>
      <c r="EC22" s="137"/>
      <c r="ED22" s="137"/>
      <c r="EE22" s="137"/>
      <c r="EF22" s="137"/>
      <c r="EG22" s="137"/>
      <c r="EH22" s="137"/>
      <c r="EI22" s="137"/>
      <c r="EJ22" s="137"/>
      <c r="EK22" s="137"/>
      <c r="EL22" s="137"/>
      <c r="EM22" s="137"/>
      <c r="EN22" s="137"/>
      <c r="EO22" s="137"/>
      <c r="EP22" s="137"/>
      <c r="EQ22" s="137"/>
      <c r="ER22" s="137"/>
      <c r="ES22" s="137"/>
      <c r="ET22" s="137"/>
      <c r="EU22" s="137"/>
      <c r="EV22" s="137"/>
      <c r="EW22" s="137"/>
      <c r="EX22" s="137"/>
      <c r="EY22" s="137"/>
      <c r="EZ22" s="137"/>
      <c r="FA22" s="137"/>
      <c r="FB22" s="137"/>
      <c r="FC22" s="137"/>
      <c r="FD22" s="137"/>
      <c r="FE22" s="137"/>
      <c r="FF22" s="137"/>
      <c r="FG22" s="137"/>
      <c r="FH22" s="137"/>
      <c r="FI22" s="137"/>
      <c r="FJ22" s="137"/>
      <c r="FK22" s="137"/>
      <c r="FL22" s="137"/>
      <c r="FM22" s="137"/>
      <c r="FN22" s="137"/>
      <c r="FO22" s="137"/>
      <c r="FP22" s="137"/>
      <c r="FQ22" s="137"/>
      <c r="FR22" s="137"/>
      <c r="FS22" s="137"/>
      <c r="FT22" s="137"/>
      <c r="FU22" s="137"/>
      <c r="FV22" s="137"/>
      <c r="FW22" s="137"/>
      <c r="FX22" s="137"/>
      <c r="FY22" s="137"/>
      <c r="FZ22" s="137"/>
      <c r="GA22" s="137"/>
      <c r="GB22" s="137"/>
      <c r="GC22" s="137"/>
      <c r="GD22" s="137"/>
      <c r="GE22" s="137"/>
      <c r="GF22" s="137"/>
      <c r="GG22" s="137"/>
      <c r="GH22" s="137"/>
      <c r="GI22" s="137"/>
      <c r="GJ22" s="137"/>
      <c r="GK22" s="137"/>
      <c r="GL22" s="137"/>
      <c r="GM22" s="137"/>
      <c r="GN22" s="137"/>
      <c r="GO22" s="137"/>
      <c r="GP22" s="137"/>
      <c r="GQ22" s="137"/>
      <c r="GR22" s="137"/>
      <c r="GS22" s="137"/>
      <c r="GT22" s="137"/>
      <c r="GU22" s="137"/>
      <c r="GV22" s="137"/>
      <c r="GW22" s="137"/>
      <c r="GX22" s="137"/>
      <c r="GY22" s="137"/>
      <c r="GZ22" s="137"/>
      <c r="HA22" s="137"/>
      <c r="HB22" s="137"/>
      <c r="HC22" s="137"/>
      <c r="HD22" s="137"/>
      <c r="HE22" s="137"/>
      <c r="HF22" s="137"/>
      <c r="HG22" s="137"/>
      <c r="HH22" s="137"/>
      <c r="HI22" s="137"/>
      <c r="HJ22" s="137"/>
      <c r="HK22" s="137"/>
      <c r="HL22" s="137"/>
      <c r="HM22" s="137"/>
      <c r="HN22" s="137"/>
      <c r="HO22" s="137"/>
      <c r="HP22" s="137"/>
      <c r="HQ22" s="137"/>
      <c r="HR22" s="137"/>
      <c r="HS22" s="137"/>
      <c r="HT22" s="137"/>
      <c r="HU22" s="137"/>
      <c r="HV22" s="137"/>
      <c r="HW22" s="137"/>
      <c r="HX22" s="137"/>
      <c r="HY22" s="137"/>
      <c r="HZ22" s="137"/>
      <c r="IA22" s="137"/>
      <c r="IB22" s="137"/>
      <c r="IC22" s="137"/>
      <c r="ID22" s="137"/>
      <c r="IE22" s="137"/>
      <c r="IF22" s="137"/>
      <c r="IG22" s="137"/>
      <c r="IH22" s="137"/>
      <c r="II22" s="137"/>
      <c r="IJ22" s="137"/>
      <c r="IK22" s="137"/>
      <c r="IL22" s="137"/>
      <c r="IM22" s="137"/>
      <c r="IN22" s="137"/>
      <c r="IO22" s="137"/>
      <c r="IP22" s="137"/>
      <c r="IQ22" s="137"/>
      <c r="IR22" s="137"/>
      <c r="IS22" s="137"/>
    </row>
    <row r="23" spans="1:253" ht="14.4" thickBot="1" x14ac:dyDescent="0.3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</row>
    <row r="24" spans="1:253" ht="14.4" thickBot="1" x14ac:dyDescent="0.35">
      <c r="A24" s="21"/>
      <c r="B24" s="301" t="s">
        <v>137</v>
      </c>
      <c r="C24" s="302" t="s">
        <v>138</v>
      </c>
      <c r="D24" s="302" t="s">
        <v>139</v>
      </c>
      <c r="E24" s="302" t="s">
        <v>140</v>
      </c>
      <c r="F24" s="302" t="s">
        <v>141</v>
      </c>
      <c r="G24" s="302" t="s">
        <v>142</v>
      </c>
      <c r="H24" s="302" t="s">
        <v>143</v>
      </c>
      <c r="I24" s="302" t="s">
        <v>144</v>
      </c>
      <c r="J24" s="302" t="s">
        <v>145</v>
      </c>
      <c r="K24" s="302" t="s">
        <v>146</v>
      </c>
      <c r="L24" s="302" t="s">
        <v>147</v>
      </c>
      <c r="M24" s="302" t="s">
        <v>148</v>
      </c>
      <c r="N24" s="303" t="s">
        <v>149</v>
      </c>
      <c r="O24" s="303" t="s">
        <v>150</v>
      </c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</row>
    <row r="25" spans="1:253" ht="13.8" x14ac:dyDescent="0.3">
      <c r="A25" s="21"/>
      <c r="B25" s="49"/>
      <c r="C25" s="49"/>
      <c r="D25" s="49"/>
      <c r="E25" s="49"/>
      <c r="F25" s="49"/>
      <c r="G25" s="49"/>
      <c r="H25" s="304"/>
      <c r="I25" s="49"/>
      <c r="J25" s="49"/>
      <c r="K25" s="53"/>
      <c r="L25" s="307"/>
      <c r="M25" s="53"/>
      <c r="N25" s="49"/>
      <c r="O25" s="55" t="str">
        <f>+TEXT(H25,"MM")</f>
        <v>01</v>
      </c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</row>
    <row r="26" spans="1:253" ht="13.8" x14ac:dyDescent="0.3">
      <c r="A26" s="21"/>
      <c r="B26" s="49"/>
      <c r="C26" s="49"/>
      <c r="D26" s="49"/>
      <c r="E26" s="49"/>
      <c r="F26" s="49"/>
      <c r="G26" s="49"/>
      <c r="H26" s="304"/>
      <c r="I26" s="49"/>
      <c r="J26" s="49"/>
      <c r="K26" s="53"/>
      <c r="L26" s="307"/>
      <c r="M26" s="53"/>
      <c r="N26" s="49"/>
      <c r="O26" s="55" t="str">
        <f t="shared" ref="O26:O89" si="5">+TEXT(H26,"MM")</f>
        <v>01</v>
      </c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</row>
    <row r="27" spans="1:253" ht="13.8" x14ac:dyDescent="0.3">
      <c r="A27" s="21"/>
      <c r="B27" s="49"/>
      <c r="C27" s="49"/>
      <c r="D27" s="49"/>
      <c r="E27" s="49"/>
      <c r="F27" s="49"/>
      <c r="G27" s="49"/>
      <c r="H27" s="304"/>
      <c r="I27" s="49"/>
      <c r="J27" s="49"/>
      <c r="K27" s="53"/>
      <c r="L27" s="307"/>
      <c r="M27" s="53"/>
      <c r="N27" s="49"/>
      <c r="O27" s="55" t="str">
        <f t="shared" si="5"/>
        <v>01</v>
      </c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</row>
    <row r="28" spans="1:253" ht="13.8" x14ac:dyDescent="0.3">
      <c r="A28" s="21"/>
      <c r="B28" s="49"/>
      <c r="C28" s="49"/>
      <c r="D28" s="49"/>
      <c r="E28" s="49"/>
      <c r="F28" s="49"/>
      <c r="G28" s="49"/>
      <c r="H28" s="304"/>
      <c r="I28" s="49"/>
      <c r="J28" s="49"/>
      <c r="K28" s="53"/>
      <c r="L28" s="307"/>
      <c r="M28" s="53"/>
      <c r="N28" s="49"/>
      <c r="O28" s="55" t="str">
        <f t="shared" si="5"/>
        <v>01</v>
      </c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</row>
    <row r="29" spans="1:253" ht="13.8" x14ac:dyDescent="0.3">
      <c r="A29" s="21"/>
      <c r="B29" s="49"/>
      <c r="C29" s="49"/>
      <c r="D29" s="49"/>
      <c r="E29" s="49"/>
      <c r="F29" s="49"/>
      <c r="G29" s="49"/>
      <c r="H29" s="304"/>
      <c r="I29" s="49"/>
      <c r="J29" s="49"/>
      <c r="K29" s="53"/>
      <c r="L29" s="307"/>
      <c r="M29" s="53"/>
      <c r="N29" s="49"/>
      <c r="O29" s="55" t="str">
        <f t="shared" si="5"/>
        <v>01</v>
      </c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</row>
    <row r="30" spans="1:253" ht="13.8" x14ac:dyDescent="0.3">
      <c r="A30" s="21"/>
      <c r="B30" s="49"/>
      <c r="C30" s="49"/>
      <c r="D30" s="49"/>
      <c r="E30" s="49"/>
      <c r="F30" s="49"/>
      <c r="G30" s="49"/>
      <c r="H30" s="304"/>
      <c r="I30" s="49"/>
      <c r="J30" s="49"/>
      <c r="K30" s="53"/>
      <c r="L30" s="307"/>
      <c r="M30" s="53"/>
      <c r="N30" s="49"/>
      <c r="O30" s="55" t="str">
        <f t="shared" si="5"/>
        <v>01</v>
      </c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</row>
    <row r="31" spans="1:253" ht="13.8" x14ac:dyDescent="0.3">
      <c r="A31" s="21"/>
      <c r="B31" s="49"/>
      <c r="C31" s="49"/>
      <c r="D31" s="49"/>
      <c r="E31" s="49"/>
      <c r="F31" s="49"/>
      <c r="G31" s="49"/>
      <c r="H31" s="304"/>
      <c r="I31" s="49"/>
      <c r="J31" s="49"/>
      <c r="K31" s="53"/>
      <c r="L31" s="307"/>
      <c r="M31" s="53"/>
      <c r="N31" s="49"/>
      <c r="O31" s="55" t="str">
        <f t="shared" si="5"/>
        <v>01</v>
      </c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</row>
    <row r="32" spans="1:253" ht="13.8" x14ac:dyDescent="0.3">
      <c r="A32" s="21"/>
      <c r="B32" s="49"/>
      <c r="C32" s="49"/>
      <c r="D32" s="49"/>
      <c r="E32" s="49"/>
      <c r="F32" s="49"/>
      <c r="G32" s="49"/>
      <c r="H32" s="304"/>
      <c r="I32" s="49"/>
      <c r="J32" s="49"/>
      <c r="K32" s="53"/>
      <c r="L32" s="307"/>
      <c r="M32" s="53"/>
      <c r="N32" s="49"/>
      <c r="O32" s="55" t="str">
        <f t="shared" si="5"/>
        <v>01</v>
      </c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</row>
    <row r="33" spans="1:253" ht="13.8" x14ac:dyDescent="0.3">
      <c r="A33" s="21"/>
      <c r="B33" s="49"/>
      <c r="C33" s="49"/>
      <c r="D33" s="49"/>
      <c r="E33" s="49"/>
      <c r="F33" s="49"/>
      <c r="G33" s="49"/>
      <c r="H33" s="304"/>
      <c r="I33" s="49"/>
      <c r="J33" s="49"/>
      <c r="K33" s="53"/>
      <c r="L33" s="307"/>
      <c r="M33" s="53"/>
      <c r="N33" s="49"/>
      <c r="O33" s="55" t="str">
        <f t="shared" si="5"/>
        <v>01</v>
      </c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</row>
    <row r="34" spans="1:253" ht="13.8" x14ac:dyDescent="0.3">
      <c r="A34" s="21"/>
      <c r="B34" s="49"/>
      <c r="C34" s="49"/>
      <c r="D34" s="49"/>
      <c r="E34" s="49"/>
      <c r="F34" s="49"/>
      <c r="G34" s="49"/>
      <c r="H34" s="304"/>
      <c r="I34" s="49"/>
      <c r="J34" s="49"/>
      <c r="K34" s="53"/>
      <c r="L34" s="307"/>
      <c r="M34" s="53"/>
      <c r="N34" s="49"/>
      <c r="O34" s="55" t="str">
        <f t="shared" si="5"/>
        <v>01</v>
      </c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</row>
    <row r="35" spans="1:253" ht="13.8" x14ac:dyDescent="0.3">
      <c r="A35" s="21"/>
      <c r="B35" s="49"/>
      <c r="C35" s="49"/>
      <c r="D35" s="49"/>
      <c r="E35" s="49"/>
      <c r="F35" s="49"/>
      <c r="G35" s="49"/>
      <c r="H35" s="304"/>
      <c r="I35" s="49"/>
      <c r="J35" s="49"/>
      <c r="K35" s="53"/>
      <c r="L35" s="307"/>
      <c r="M35" s="53"/>
      <c r="N35" s="49"/>
      <c r="O35" s="55" t="str">
        <f t="shared" si="5"/>
        <v>01</v>
      </c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</row>
    <row r="36" spans="1:253" ht="13.8" x14ac:dyDescent="0.3">
      <c r="A36" s="21"/>
      <c r="B36" s="49"/>
      <c r="C36" s="49"/>
      <c r="D36" s="49"/>
      <c r="E36" s="49"/>
      <c r="F36" s="49"/>
      <c r="G36" s="49"/>
      <c r="H36" s="304"/>
      <c r="I36" s="49"/>
      <c r="J36" s="49"/>
      <c r="K36" s="53"/>
      <c r="L36" s="307"/>
      <c r="M36" s="53"/>
      <c r="N36" s="49"/>
      <c r="O36" s="55" t="str">
        <f t="shared" si="5"/>
        <v>01</v>
      </c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</row>
    <row r="37" spans="1:253" ht="13.8" x14ac:dyDescent="0.3">
      <c r="A37" s="21"/>
      <c r="B37" s="49"/>
      <c r="C37" s="49"/>
      <c r="D37" s="49"/>
      <c r="E37" s="49"/>
      <c r="F37" s="49"/>
      <c r="G37" s="49"/>
      <c r="H37" s="304"/>
      <c r="I37" s="49"/>
      <c r="J37" s="49"/>
      <c r="K37" s="53"/>
      <c r="L37" s="307"/>
      <c r="M37" s="53"/>
      <c r="N37" s="49"/>
      <c r="O37" s="55" t="str">
        <f t="shared" si="5"/>
        <v>01</v>
      </c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</row>
    <row r="38" spans="1:253" ht="13.8" x14ac:dyDescent="0.3">
      <c r="A38" s="21"/>
      <c r="B38" s="49"/>
      <c r="C38" s="49"/>
      <c r="D38" s="49"/>
      <c r="E38" s="49"/>
      <c r="F38" s="49"/>
      <c r="G38" s="49"/>
      <c r="H38" s="304"/>
      <c r="I38" s="49"/>
      <c r="J38" s="49"/>
      <c r="K38" s="53"/>
      <c r="L38" s="307"/>
      <c r="M38" s="53"/>
      <c r="N38" s="49"/>
      <c r="O38" s="55" t="str">
        <f t="shared" si="5"/>
        <v>01</v>
      </c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</row>
    <row r="39" spans="1:253" ht="13.8" x14ac:dyDescent="0.3">
      <c r="A39" s="21"/>
      <c r="B39" s="49"/>
      <c r="C39" s="49"/>
      <c r="D39" s="49"/>
      <c r="E39" s="49"/>
      <c r="F39" s="49"/>
      <c r="G39" s="49"/>
      <c r="H39" s="304"/>
      <c r="I39" s="49"/>
      <c r="J39" s="49"/>
      <c r="K39" s="53"/>
      <c r="L39" s="307"/>
      <c r="M39" s="53"/>
      <c r="N39" s="49"/>
      <c r="O39" s="55" t="str">
        <f t="shared" si="5"/>
        <v>01</v>
      </c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</row>
    <row r="40" spans="1:253" ht="13.8" x14ac:dyDescent="0.3">
      <c r="A40" s="21"/>
      <c r="B40" s="49"/>
      <c r="C40" s="49"/>
      <c r="D40" s="49"/>
      <c r="E40" s="49"/>
      <c r="F40" s="49"/>
      <c r="G40" s="49"/>
      <c r="H40" s="304"/>
      <c r="I40" s="49"/>
      <c r="J40" s="49"/>
      <c r="K40" s="53"/>
      <c r="L40" s="307"/>
      <c r="M40" s="53"/>
      <c r="N40" s="49"/>
      <c r="O40" s="55" t="str">
        <f t="shared" si="5"/>
        <v>01</v>
      </c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</row>
    <row r="41" spans="1:253" ht="13.8" x14ac:dyDescent="0.3">
      <c r="A41" s="21"/>
      <c r="B41" s="49"/>
      <c r="C41" s="49"/>
      <c r="D41" s="49"/>
      <c r="E41" s="49"/>
      <c r="F41" s="49"/>
      <c r="G41" s="49"/>
      <c r="H41" s="304"/>
      <c r="I41" s="49"/>
      <c r="J41" s="49"/>
      <c r="K41" s="53"/>
      <c r="L41" s="307"/>
      <c r="M41" s="53"/>
      <c r="N41" s="49"/>
      <c r="O41" s="55" t="str">
        <f t="shared" si="5"/>
        <v>01</v>
      </c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</row>
    <row r="42" spans="1:253" ht="13.8" x14ac:dyDescent="0.3">
      <c r="A42" s="21"/>
      <c r="B42" s="49"/>
      <c r="C42" s="49"/>
      <c r="D42" s="49"/>
      <c r="E42" s="49"/>
      <c r="F42" s="49"/>
      <c r="G42" s="49"/>
      <c r="H42" s="304"/>
      <c r="I42" s="49"/>
      <c r="J42" s="49"/>
      <c r="K42" s="53"/>
      <c r="L42" s="307"/>
      <c r="M42" s="53"/>
      <c r="N42" s="49"/>
      <c r="O42" s="55" t="str">
        <f t="shared" si="5"/>
        <v>01</v>
      </c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</row>
    <row r="43" spans="1:253" ht="13.8" x14ac:dyDescent="0.3">
      <c r="A43" s="21"/>
      <c r="B43" s="49"/>
      <c r="C43" s="49"/>
      <c r="D43" s="49"/>
      <c r="E43" s="49"/>
      <c r="F43" s="49"/>
      <c r="G43" s="49"/>
      <c r="H43" s="304"/>
      <c r="I43" s="49"/>
      <c r="J43" s="49"/>
      <c r="K43" s="53"/>
      <c r="L43" s="307"/>
      <c r="M43" s="53"/>
      <c r="N43" s="49"/>
      <c r="O43" s="55" t="str">
        <f t="shared" si="5"/>
        <v>01</v>
      </c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</row>
    <row r="44" spans="1:253" ht="13.8" x14ac:dyDescent="0.3">
      <c r="A44" s="21"/>
      <c r="B44" s="49"/>
      <c r="C44" s="49"/>
      <c r="D44" s="49"/>
      <c r="E44" s="49"/>
      <c r="F44" s="49"/>
      <c r="G44" s="49"/>
      <c r="H44" s="304"/>
      <c r="I44" s="49"/>
      <c r="J44" s="49"/>
      <c r="K44" s="53"/>
      <c r="L44" s="307"/>
      <c r="M44" s="53"/>
      <c r="N44" s="49"/>
      <c r="O44" s="55" t="str">
        <f t="shared" si="5"/>
        <v>01</v>
      </c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</row>
    <row r="45" spans="1:253" ht="13.8" x14ac:dyDescent="0.3">
      <c r="A45" s="21"/>
      <c r="B45" s="49"/>
      <c r="C45" s="49"/>
      <c r="D45" s="49"/>
      <c r="E45" s="49"/>
      <c r="F45" s="49"/>
      <c r="G45" s="49"/>
      <c r="H45" s="304"/>
      <c r="I45" s="49"/>
      <c r="J45" s="49"/>
      <c r="K45" s="53"/>
      <c r="L45" s="307"/>
      <c r="M45" s="53"/>
      <c r="N45" s="49"/>
      <c r="O45" s="55" t="str">
        <f t="shared" si="5"/>
        <v>01</v>
      </c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</row>
    <row r="46" spans="1:253" ht="13.8" x14ac:dyDescent="0.3">
      <c r="A46" s="21"/>
      <c r="B46" s="49"/>
      <c r="C46" s="49"/>
      <c r="D46" s="49"/>
      <c r="E46" s="49"/>
      <c r="F46" s="49"/>
      <c r="G46" s="49"/>
      <c r="H46" s="304"/>
      <c r="I46" s="49"/>
      <c r="J46" s="49"/>
      <c r="K46" s="53"/>
      <c r="L46" s="307"/>
      <c r="M46" s="53"/>
      <c r="N46" s="49"/>
      <c r="O46" s="55" t="str">
        <f t="shared" si="5"/>
        <v>01</v>
      </c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</row>
    <row r="47" spans="1:253" ht="13.8" x14ac:dyDescent="0.3">
      <c r="A47" s="21"/>
      <c r="B47" s="52"/>
      <c r="C47" s="49"/>
      <c r="D47" s="49"/>
      <c r="E47" s="49"/>
      <c r="F47" s="49"/>
      <c r="G47" s="52"/>
      <c r="H47" s="304"/>
      <c r="I47" s="49"/>
      <c r="J47" s="49"/>
      <c r="K47" s="53"/>
      <c r="L47" s="307"/>
      <c r="M47" s="53"/>
      <c r="N47" s="49"/>
      <c r="O47" s="55" t="str">
        <f t="shared" si="5"/>
        <v>01</v>
      </c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</row>
    <row r="48" spans="1:253" x14ac:dyDescent="0.25">
      <c r="B48" s="49"/>
      <c r="C48" s="49"/>
      <c r="D48" s="49"/>
      <c r="E48" s="49"/>
      <c r="F48" s="49"/>
      <c r="G48" s="49"/>
      <c r="H48" s="304"/>
      <c r="I48" s="49"/>
      <c r="J48" s="49"/>
      <c r="K48" s="53"/>
      <c r="L48" s="307"/>
      <c r="M48" s="53"/>
      <c r="N48" s="49"/>
      <c r="O48" s="55" t="str">
        <f t="shared" si="5"/>
        <v>01</v>
      </c>
    </row>
    <row r="49" spans="2:15" x14ac:dyDescent="0.25">
      <c r="B49" s="49"/>
      <c r="C49" s="49"/>
      <c r="D49" s="49"/>
      <c r="E49" s="49"/>
      <c r="F49" s="49"/>
      <c r="G49" s="49"/>
      <c r="H49" s="304"/>
      <c r="I49" s="49"/>
      <c r="J49" s="49"/>
      <c r="K49" s="53"/>
      <c r="L49" s="307"/>
      <c r="M49" s="53"/>
      <c r="N49" s="49"/>
      <c r="O49" s="55" t="str">
        <f t="shared" si="5"/>
        <v>01</v>
      </c>
    </row>
    <row r="50" spans="2:15" x14ac:dyDescent="0.25">
      <c r="B50" s="49"/>
      <c r="C50" s="49"/>
      <c r="D50" s="49"/>
      <c r="E50" s="49"/>
      <c r="F50" s="49"/>
      <c r="G50" s="49"/>
      <c r="H50" s="304"/>
      <c r="I50" s="49"/>
      <c r="J50" s="49"/>
      <c r="K50" s="53"/>
      <c r="L50" s="307"/>
      <c r="M50" s="53"/>
      <c r="N50" s="49"/>
      <c r="O50" s="55" t="str">
        <f t="shared" si="5"/>
        <v>01</v>
      </c>
    </row>
    <row r="51" spans="2:15" x14ac:dyDescent="0.25">
      <c r="B51" s="49"/>
      <c r="C51" s="49"/>
      <c r="D51" s="49"/>
      <c r="E51" s="49"/>
      <c r="F51" s="49"/>
      <c r="G51" s="49"/>
      <c r="H51" s="304"/>
      <c r="I51" s="49"/>
      <c r="J51" s="49"/>
      <c r="K51" s="53"/>
      <c r="L51" s="307"/>
      <c r="M51" s="53"/>
      <c r="N51" s="49"/>
      <c r="O51" s="55" t="str">
        <f t="shared" si="5"/>
        <v>01</v>
      </c>
    </row>
    <row r="52" spans="2:15" x14ac:dyDescent="0.25">
      <c r="B52" s="49"/>
      <c r="C52" s="49"/>
      <c r="D52" s="49"/>
      <c r="E52" s="49"/>
      <c r="F52" s="49"/>
      <c r="G52" s="49"/>
      <c r="H52" s="304"/>
      <c r="I52" s="49"/>
      <c r="J52" s="49"/>
      <c r="K52" s="53"/>
      <c r="L52" s="307"/>
      <c r="M52" s="53"/>
      <c r="N52" s="49"/>
      <c r="O52" s="55" t="str">
        <f t="shared" si="5"/>
        <v>01</v>
      </c>
    </row>
    <row r="53" spans="2:15" x14ac:dyDescent="0.25">
      <c r="B53" s="49"/>
      <c r="C53" s="49"/>
      <c r="D53" s="49"/>
      <c r="E53" s="49"/>
      <c r="F53" s="49"/>
      <c r="G53" s="49"/>
      <c r="H53" s="304"/>
      <c r="I53" s="49"/>
      <c r="J53" s="49"/>
      <c r="K53" s="53"/>
      <c r="L53" s="307"/>
      <c r="M53" s="53"/>
      <c r="N53" s="49"/>
      <c r="O53" s="55" t="str">
        <f t="shared" si="5"/>
        <v>01</v>
      </c>
    </row>
    <row r="54" spans="2:15" x14ac:dyDescent="0.25">
      <c r="B54" s="49"/>
      <c r="C54" s="49"/>
      <c r="D54" s="49"/>
      <c r="E54" s="49"/>
      <c r="F54" s="49"/>
      <c r="G54" s="49"/>
      <c r="H54" s="304"/>
      <c r="I54" s="49"/>
      <c r="J54" s="49"/>
      <c r="K54" s="53"/>
      <c r="L54" s="307"/>
      <c r="M54" s="53"/>
      <c r="N54" s="49"/>
      <c r="O54" s="55" t="str">
        <f t="shared" si="5"/>
        <v>01</v>
      </c>
    </row>
    <row r="55" spans="2:15" x14ac:dyDescent="0.25">
      <c r="B55" s="49"/>
      <c r="C55" s="49"/>
      <c r="D55" s="49"/>
      <c r="E55" s="49"/>
      <c r="F55" s="49"/>
      <c r="G55" s="49"/>
      <c r="H55" s="304"/>
      <c r="I55" s="49"/>
      <c r="J55" s="49"/>
      <c r="K55" s="53"/>
      <c r="L55" s="307"/>
      <c r="M55" s="53"/>
      <c r="N55" s="49"/>
      <c r="O55" s="55" t="str">
        <f t="shared" si="5"/>
        <v>01</v>
      </c>
    </row>
    <row r="56" spans="2:15" x14ac:dyDescent="0.25">
      <c r="B56" s="49"/>
      <c r="C56" s="49"/>
      <c r="D56" s="49"/>
      <c r="E56" s="49"/>
      <c r="F56" s="49"/>
      <c r="G56" s="49"/>
      <c r="H56" s="304"/>
      <c r="I56" s="49"/>
      <c r="J56" s="49"/>
      <c r="K56" s="53"/>
      <c r="L56" s="307"/>
      <c r="M56" s="53"/>
      <c r="N56" s="49"/>
      <c r="O56" s="55" t="str">
        <f t="shared" si="5"/>
        <v>01</v>
      </c>
    </row>
    <row r="57" spans="2:15" x14ac:dyDescent="0.25">
      <c r="B57" s="49"/>
      <c r="C57" s="49"/>
      <c r="D57" s="49"/>
      <c r="E57" s="49"/>
      <c r="F57" s="49"/>
      <c r="G57" s="49"/>
      <c r="H57" s="304"/>
      <c r="I57" s="49"/>
      <c r="J57" s="49"/>
      <c r="K57" s="53"/>
      <c r="L57" s="307"/>
      <c r="M57" s="53"/>
      <c r="N57" s="49"/>
      <c r="O57" s="55" t="str">
        <f t="shared" si="5"/>
        <v>01</v>
      </c>
    </row>
    <row r="58" spans="2:15" x14ac:dyDescent="0.25">
      <c r="B58" s="49"/>
      <c r="C58" s="49"/>
      <c r="D58" s="49"/>
      <c r="E58" s="49"/>
      <c r="F58" s="49"/>
      <c r="G58" s="49"/>
      <c r="H58" s="304"/>
      <c r="I58" s="49"/>
      <c r="J58" s="49"/>
      <c r="K58" s="53"/>
      <c r="L58" s="307"/>
      <c r="M58" s="53"/>
      <c r="N58" s="49"/>
      <c r="O58" s="55" t="str">
        <f t="shared" si="5"/>
        <v>01</v>
      </c>
    </row>
    <row r="59" spans="2:15" x14ac:dyDescent="0.25">
      <c r="B59" s="49"/>
      <c r="C59" s="49"/>
      <c r="D59" s="49"/>
      <c r="E59" s="49"/>
      <c r="F59" s="49"/>
      <c r="G59" s="49"/>
      <c r="H59" s="304"/>
      <c r="I59" s="49"/>
      <c r="J59" s="49"/>
      <c r="K59" s="53"/>
      <c r="L59" s="307"/>
      <c r="M59" s="53"/>
      <c r="N59" s="49"/>
      <c r="O59" s="55" t="str">
        <f t="shared" si="5"/>
        <v>01</v>
      </c>
    </row>
    <row r="60" spans="2:15" x14ac:dyDescent="0.25">
      <c r="B60" s="49"/>
      <c r="C60" s="49"/>
      <c r="D60" s="49"/>
      <c r="E60" s="49"/>
      <c r="F60" s="49"/>
      <c r="G60" s="49"/>
      <c r="H60" s="304"/>
      <c r="I60" s="49"/>
      <c r="J60" s="49"/>
      <c r="K60" s="53"/>
      <c r="L60" s="307"/>
      <c r="M60" s="53"/>
      <c r="N60" s="49"/>
      <c r="O60" s="55" t="str">
        <f t="shared" si="5"/>
        <v>01</v>
      </c>
    </row>
    <row r="61" spans="2:15" x14ac:dyDescent="0.25">
      <c r="B61" s="49"/>
      <c r="C61" s="49"/>
      <c r="D61" s="49"/>
      <c r="E61" s="49"/>
      <c r="F61" s="49"/>
      <c r="G61" s="49"/>
      <c r="H61" s="304"/>
      <c r="I61" s="49"/>
      <c r="J61" s="49"/>
      <c r="K61" s="53"/>
      <c r="L61" s="307"/>
      <c r="M61" s="53"/>
      <c r="N61" s="49"/>
      <c r="O61" s="55" t="str">
        <f t="shared" si="5"/>
        <v>01</v>
      </c>
    </row>
    <row r="62" spans="2:15" x14ac:dyDescent="0.25">
      <c r="B62" s="49"/>
      <c r="C62" s="49"/>
      <c r="D62" s="49"/>
      <c r="E62" s="49"/>
      <c r="F62" s="49"/>
      <c r="G62" s="49"/>
      <c r="H62" s="304"/>
      <c r="I62" s="49"/>
      <c r="J62" s="49"/>
      <c r="K62" s="53"/>
      <c r="L62" s="307"/>
      <c r="M62" s="53"/>
      <c r="N62" s="49"/>
      <c r="O62" s="55" t="str">
        <f t="shared" si="5"/>
        <v>01</v>
      </c>
    </row>
    <row r="63" spans="2:15" x14ac:dyDescent="0.25">
      <c r="B63" s="49"/>
      <c r="C63" s="49"/>
      <c r="D63" s="49"/>
      <c r="E63" s="49"/>
      <c r="F63" s="49"/>
      <c r="G63" s="49"/>
      <c r="H63" s="304"/>
      <c r="I63" s="49"/>
      <c r="J63" s="49"/>
      <c r="K63" s="53"/>
      <c r="L63" s="307"/>
      <c r="M63" s="53"/>
      <c r="N63" s="49"/>
      <c r="O63" s="55" t="str">
        <f t="shared" si="5"/>
        <v>01</v>
      </c>
    </row>
    <row r="64" spans="2:15" x14ac:dyDescent="0.25">
      <c r="B64" s="49"/>
      <c r="C64" s="49"/>
      <c r="D64" s="49"/>
      <c r="E64" s="49"/>
      <c r="F64" s="49"/>
      <c r="G64" s="49"/>
      <c r="H64" s="304"/>
      <c r="I64" s="49"/>
      <c r="J64" s="49"/>
      <c r="K64" s="53"/>
      <c r="L64" s="307"/>
      <c r="M64" s="53"/>
      <c r="N64" s="49"/>
      <c r="O64" s="55" t="str">
        <f t="shared" si="5"/>
        <v>01</v>
      </c>
    </row>
    <row r="65" spans="2:15" x14ac:dyDescent="0.25">
      <c r="B65" s="49"/>
      <c r="C65" s="49"/>
      <c r="D65" s="49"/>
      <c r="E65" s="49"/>
      <c r="F65" s="49"/>
      <c r="G65" s="49"/>
      <c r="H65" s="304"/>
      <c r="I65" s="49"/>
      <c r="J65" s="49"/>
      <c r="K65" s="53"/>
      <c r="L65" s="307"/>
      <c r="M65" s="53"/>
      <c r="N65" s="49"/>
      <c r="O65" s="55" t="str">
        <f t="shared" si="5"/>
        <v>01</v>
      </c>
    </row>
    <row r="66" spans="2:15" x14ac:dyDescent="0.25">
      <c r="B66" s="49"/>
      <c r="C66" s="49"/>
      <c r="D66" s="49"/>
      <c r="E66" s="49"/>
      <c r="F66" s="49"/>
      <c r="G66" s="49"/>
      <c r="H66" s="304"/>
      <c r="I66" s="49"/>
      <c r="J66" s="49"/>
      <c r="K66" s="53"/>
      <c r="L66" s="307"/>
      <c r="M66" s="53"/>
      <c r="N66" s="49"/>
      <c r="O66" s="55" t="str">
        <f t="shared" si="5"/>
        <v>01</v>
      </c>
    </row>
    <row r="67" spans="2:15" x14ac:dyDescent="0.25">
      <c r="B67" s="49"/>
      <c r="C67" s="49"/>
      <c r="D67" s="49"/>
      <c r="E67" s="49"/>
      <c r="F67" s="49"/>
      <c r="G67" s="49"/>
      <c r="H67" s="304"/>
      <c r="I67" s="49"/>
      <c r="J67" s="49"/>
      <c r="K67" s="53"/>
      <c r="L67" s="307"/>
      <c r="M67" s="53"/>
      <c r="N67" s="49"/>
      <c r="O67" s="55" t="str">
        <f t="shared" si="5"/>
        <v>01</v>
      </c>
    </row>
    <row r="68" spans="2:15" x14ac:dyDescent="0.25">
      <c r="B68" s="49"/>
      <c r="C68" s="49"/>
      <c r="D68" s="49"/>
      <c r="E68" s="49"/>
      <c r="F68" s="49"/>
      <c r="G68" s="49"/>
      <c r="H68" s="304"/>
      <c r="I68" s="49"/>
      <c r="J68" s="49"/>
      <c r="K68" s="53"/>
      <c r="L68" s="307"/>
      <c r="M68" s="53"/>
      <c r="N68" s="49"/>
      <c r="O68" s="55" t="str">
        <f t="shared" si="5"/>
        <v>01</v>
      </c>
    </row>
    <row r="69" spans="2:15" x14ac:dyDescent="0.25">
      <c r="B69" s="49"/>
      <c r="C69" s="49"/>
      <c r="D69" s="49"/>
      <c r="E69" s="49"/>
      <c r="F69" s="49"/>
      <c r="G69" s="49"/>
      <c r="H69" s="304"/>
      <c r="I69" s="49"/>
      <c r="J69" s="49"/>
      <c r="K69" s="53"/>
      <c r="L69" s="307"/>
      <c r="M69" s="53"/>
      <c r="N69" s="49"/>
      <c r="O69" s="55" t="str">
        <f t="shared" si="5"/>
        <v>01</v>
      </c>
    </row>
    <row r="70" spans="2:15" x14ac:dyDescent="0.25">
      <c r="B70" s="49"/>
      <c r="C70" s="49"/>
      <c r="D70" s="49"/>
      <c r="E70" s="49"/>
      <c r="F70" s="49"/>
      <c r="G70" s="49"/>
      <c r="H70" s="304"/>
      <c r="I70" s="49"/>
      <c r="J70" s="49"/>
      <c r="K70" s="53"/>
      <c r="L70" s="307"/>
      <c r="M70" s="53"/>
      <c r="N70" s="49"/>
      <c r="O70" s="55" t="str">
        <f t="shared" si="5"/>
        <v>01</v>
      </c>
    </row>
    <row r="71" spans="2:15" x14ac:dyDescent="0.25">
      <c r="B71" s="49"/>
      <c r="C71" s="49"/>
      <c r="D71" s="49"/>
      <c r="E71" s="49"/>
      <c r="F71" s="49"/>
      <c r="G71" s="49"/>
      <c r="H71" s="304"/>
      <c r="I71" s="49"/>
      <c r="J71" s="49"/>
      <c r="K71" s="53"/>
      <c r="L71" s="307"/>
      <c r="M71" s="53"/>
      <c r="N71" s="49"/>
      <c r="O71" s="55" t="str">
        <f t="shared" si="5"/>
        <v>01</v>
      </c>
    </row>
    <row r="72" spans="2:15" x14ac:dyDescent="0.25">
      <c r="B72" s="49"/>
      <c r="C72" s="49"/>
      <c r="D72" s="49"/>
      <c r="E72" s="49"/>
      <c r="F72" s="49"/>
      <c r="G72" s="49"/>
      <c r="H72" s="304"/>
      <c r="I72" s="49"/>
      <c r="J72" s="49"/>
      <c r="K72" s="53"/>
      <c r="L72" s="307"/>
      <c r="M72" s="53"/>
      <c r="N72" s="49"/>
      <c r="O72" s="55" t="str">
        <f t="shared" si="5"/>
        <v>01</v>
      </c>
    </row>
    <row r="73" spans="2:15" x14ac:dyDescent="0.25">
      <c r="B73" s="49"/>
      <c r="C73" s="49"/>
      <c r="D73" s="49"/>
      <c r="E73" s="49"/>
      <c r="F73" s="49"/>
      <c r="G73" s="49"/>
      <c r="H73" s="304"/>
      <c r="I73" s="49"/>
      <c r="J73" s="49"/>
      <c r="K73" s="53"/>
      <c r="L73" s="307"/>
      <c r="M73" s="53"/>
      <c r="N73" s="49"/>
      <c r="O73" s="55" t="str">
        <f t="shared" si="5"/>
        <v>01</v>
      </c>
    </row>
    <row r="74" spans="2:15" x14ac:dyDescent="0.25">
      <c r="B74" s="49"/>
      <c r="C74" s="49"/>
      <c r="D74" s="49"/>
      <c r="E74" s="49"/>
      <c r="F74" s="49"/>
      <c r="G74" s="49"/>
      <c r="H74" s="304"/>
      <c r="I74" s="49"/>
      <c r="J74" s="49"/>
      <c r="K74" s="53"/>
      <c r="L74" s="307"/>
      <c r="M74" s="53"/>
      <c r="N74" s="49"/>
      <c r="O74" s="55" t="str">
        <f t="shared" si="5"/>
        <v>01</v>
      </c>
    </row>
    <row r="75" spans="2:15" x14ac:dyDescent="0.25">
      <c r="B75" s="49"/>
      <c r="C75" s="49"/>
      <c r="D75" s="49"/>
      <c r="E75" s="49"/>
      <c r="F75" s="49"/>
      <c r="G75" s="49"/>
      <c r="H75" s="304"/>
      <c r="I75" s="49"/>
      <c r="J75" s="49"/>
      <c r="K75" s="53"/>
      <c r="L75" s="307"/>
      <c r="M75" s="53"/>
      <c r="N75" s="49"/>
      <c r="O75" s="55" t="str">
        <f t="shared" si="5"/>
        <v>01</v>
      </c>
    </row>
    <row r="76" spans="2:15" x14ac:dyDescent="0.25">
      <c r="B76" s="49"/>
      <c r="C76" s="49"/>
      <c r="D76" s="49"/>
      <c r="E76" s="49"/>
      <c r="F76" s="49"/>
      <c r="G76" s="49"/>
      <c r="H76" s="304"/>
      <c r="I76" s="49"/>
      <c r="J76" s="49"/>
      <c r="K76" s="53"/>
      <c r="L76" s="307"/>
      <c r="M76" s="53"/>
      <c r="N76" s="49"/>
      <c r="O76" s="55" t="str">
        <f t="shared" si="5"/>
        <v>01</v>
      </c>
    </row>
    <row r="77" spans="2:15" x14ac:dyDescent="0.25">
      <c r="B77" s="49"/>
      <c r="C77" s="49"/>
      <c r="D77" s="49"/>
      <c r="E77" s="49"/>
      <c r="F77" s="49"/>
      <c r="G77" s="49"/>
      <c r="H77" s="304"/>
      <c r="I77" s="49"/>
      <c r="J77" s="49"/>
      <c r="K77" s="53"/>
      <c r="L77" s="307"/>
      <c r="M77" s="53"/>
      <c r="N77" s="49"/>
      <c r="O77" s="55" t="str">
        <f t="shared" si="5"/>
        <v>01</v>
      </c>
    </row>
    <row r="78" spans="2:15" x14ac:dyDescent="0.25">
      <c r="B78" s="49"/>
      <c r="C78" s="49"/>
      <c r="D78" s="49"/>
      <c r="E78" s="49"/>
      <c r="F78" s="49"/>
      <c r="G78" s="49"/>
      <c r="H78" s="304"/>
      <c r="I78" s="49"/>
      <c r="J78" s="49"/>
      <c r="K78" s="53"/>
      <c r="L78" s="307"/>
      <c r="M78" s="53"/>
      <c r="N78" s="49"/>
      <c r="O78" s="55" t="str">
        <f t="shared" si="5"/>
        <v>01</v>
      </c>
    </row>
    <row r="79" spans="2:15" x14ac:dyDescent="0.25">
      <c r="B79" s="49"/>
      <c r="C79" s="49"/>
      <c r="D79" s="49"/>
      <c r="E79" s="49"/>
      <c r="F79" s="49"/>
      <c r="G79" s="49"/>
      <c r="H79" s="304"/>
      <c r="I79" s="49"/>
      <c r="J79" s="49"/>
      <c r="K79" s="53"/>
      <c r="L79" s="307"/>
      <c r="M79" s="53"/>
      <c r="N79" s="49"/>
      <c r="O79" s="55" t="str">
        <f t="shared" si="5"/>
        <v>01</v>
      </c>
    </row>
    <row r="80" spans="2:15" x14ac:dyDescent="0.25">
      <c r="B80" s="49"/>
      <c r="C80" s="49"/>
      <c r="D80" s="49"/>
      <c r="E80" s="49"/>
      <c r="F80" s="49"/>
      <c r="G80" s="49"/>
      <c r="H80" s="304"/>
      <c r="I80" s="49"/>
      <c r="J80" s="49"/>
      <c r="K80" s="53"/>
      <c r="L80" s="307"/>
      <c r="M80" s="53"/>
      <c r="N80" s="49"/>
      <c r="O80" s="55" t="str">
        <f t="shared" si="5"/>
        <v>01</v>
      </c>
    </row>
    <row r="81" spans="2:15" x14ac:dyDescent="0.25">
      <c r="B81" s="49"/>
      <c r="C81" s="49"/>
      <c r="D81" s="49"/>
      <c r="E81" s="49"/>
      <c r="F81" s="49"/>
      <c r="G81" s="49"/>
      <c r="H81" s="304"/>
      <c r="I81" s="49"/>
      <c r="J81" s="49"/>
      <c r="K81" s="53"/>
      <c r="L81" s="307"/>
      <c r="M81" s="53"/>
      <c r="N81" s="49"/>
      <c r="O81" s="55" t="str">
        <f t="shared" si="5"/>
        <v>01</v>
      </c>
    </row>
    <row r="82" spans="2:15" x14ac:dyDescent="0.25">
      <c r="B82" s="49"/>
      <c r="C82" s="49"/>
      <c r="D82" s="49"/>
      <c r="E82" s="49"/>
      <c r="F82" s="49"/>
      <c r="G82" s="49"/>
      <c r="H82" s="304"/>
      <c r="I82" s="49"/>
      <c r="J82" s="49"/>
      <c r="K82" s="53"/>
      <c r="L82" s="307"/>
      <c r="M82" s="53"/>
      <c r="N82" s="49"/>
      <c r="O82" s="55" t="str">
        <f t="shared" si="5"/>
        <v>01</v>
      </c>
    </row>
    <row r="83" spans="2:15" x14ac:dyDescent="0.25">
      <c r="B83" s="49"/>
      <c r="C83" s="49"/>
      <c r="D83" s="49"/>
      <c r="E83" s="49"/>
      <c r="F83" s="49"/>
      <c r="G83" s="49"/>
      <c r="H83" s="304"/>
      <c r="I83" s="49"/>
      <c r="J83" s="49"/>
      <c r="K83" s="53"/>
      <c r="L83" s="307"/>
      <c r="M83" s="53"/>
      <c r="N83" s="49"/>
      <c r="O83" s="55" t="str">
        <f t="shared" si="5"/>
        <v>01</v>
      </c>
    </row>
    <row r="84" spans="2:15" x14ac:dyDescent="0.25">
      <c r="B84" s="49"/>
      <c r="C84" s="49"/>
      <c r="D84" s="49"/>
      <c r="E84" s="49"/>
      <c r="F84" s="49"/>
      <c r="G84" s="49"/>
      <c r="H84" s="304"/>
      <c r="I84" s="49"/>
      <c r="J84" s="49"/>
      <c r="K84" s="53"/>
      <c r="L84" s="307"/>
      <c r="M84" s="53"/>
      <c r="N84" s="49"/>
      <c r="O84" s="55" t="str">
        <f t="shared" si="5"/>
        <v>01</v>
      </c>
    </row>
    <row r="85" spans="2:15" x14ac:dyDescent="0.25">
      <c r="B85" s="49"/>
      <c r="C85" s="49"/>
      <c r="D85" s="49"/>
      <c r="E85" s="49"/>
      <c r="F85" s="49"/>
      <c r="G85" s="49"/>
      <c r="H85" s="304"/>
      <c r="I85" s="49"/>
      <c r="J85" s="49"/>
      <c r="K85" s="53"/>
      <c r="L85" s="307"/>
      <c r="M85" s="53"/>
      <c r="N85" s="49"/>
      <c r="O85" s="55" t="str">
        <f t="shared" si="5"/>
        <v>01</v>
      </c>
    </row>
    <row r="86" spans="2:15" x14ac:dyDescent="0.25">
      <c r="B86" s="49"/>
      <c r="C86" s="49"/>
      <c r="D86" s="49"/>
      <c r="E86" s="49"/>
      <c r="F86" s="49"/>
      <c r="G86" s="49"/>
      <c r="H86" s="304"/>
      <c r="I86" s="49"/>
      <c r="J86" s="49"/>
      <c r="K86" s="53"/>
      <c r="L86" s="307"/>
      <c r="M86" s="53"/>
      <c r="N86" s="49"/>
      <c r="O86" s="55" t="str">
        <f t="shared" si="5"/>
        <v>01</v>
      </c>
    </row>
    <row r="87" spans="2:15" x14ac:dyDescent="0.25">
      <c r="B87" s="49"/>
      <c r="C87" s="49"/>
      <c r="D87" s="49"/>
      <c r="E87" s="49"/>
      <c r="F87" s="49"/>
      <c r="G87" s="49"/>
      <c r="H87" s="304"/>
      <c r="I87" s="49"/>
      <c r="J87" s="49"/>
      <c r="K87" s="53"/>
      <c r="L87" s="307"/>
      <c r="M87" s="53"/>
      <c r="N87" s="49"/>
      <c r="O87" s="55" t="str">
        <f t="shared" si="5"/>
        <v>01</v>
      </c>
    </row>
    <row r="88" spans="2:15" x14ac:dyDescent="0.25">
      <c r="B88" s="49"/>
      <c r="C88" s="49"/>
      <c r="D88" s="49"/>
      <c r="E88" s="49"/>
      <c r="F88" s="49"/>
      <c r="G88" s="49"/>
      <c r="H88" s="304"/>
      <c r="I88" s="49"/>
      <c r="J88" s="49"/>
      <c r="K88" s="53"/>
      <c r="L88" s="307"/>
      <c r="M88" s="53"/>
      <c r="N88" s="49"/>
      <c r="O88" s="55" t="str">
        <f t="shared" si="5"/>
        <v>01</v>
      </c>
    </row>
    <row r="89" spans="2:15" x14ac:dyDescent="0.25">
      <c r="B89" s="49"/>
      <c r="C89" s="49"/>
      <c r="D89" s="49"/>
      <c r="E89" s="49"/>
      <c r="F89" s="49"/>
      <c r="G89" s="49"/>
      <c r="H89" s="304"/>
      <c r="I89" s="49"/>
      <c r="J89" s="49"/>
      <c r="K89" s="53"/>
      <c r="L89" s="307"/>
      <c r="M89" s="53"/>
      <c r="N89" s="49"/>
      <c r="O89" s="55" t="str">
        <f t="shared" si="5"/>
        <v>01</v>
      </c>
    </row>
    <row r="90" spans="2:15" x14ac:dyDescent="0.25">
      <c r="B90" s="49"/>
      <c r="C90" s="49"/>
      <c r="D90" s="49"/>
      <c r="E90" s="49"/>
      <c r="F90" s="49"/>
      <c r="G90" s="49"/>
      <c r="H90" s="304"/>
      <c r="I90" s="49"/>
      <c r="J90" s="49"/>
      <c r="K90" s="53"/>
      <c r="L90" s="307"/>
      <c r="M90" s="53"/>
      <c r="N90" s="49"/>
      <c r="O90" s="55" t="str">
        <f t="shared" ref="O90:O153" si="6">+TEXT(H90,"MM")</f>
        <v>01</v>
      </c>
    </row>
    <row r="91" spans="2:15" x14ac:dyDescent="0.25">
      <c r="B91" s="49"/>
      <c r="C91" s="49"/>
      <c r="D91" s="49"/>
      <c r="E91" s="49"/>
      <c r="F91" s="49"/>
      <c r="G91" s="49"/>
      <c r="H91" s="304"/>
      <c r="I91" s="49"/>
      <c r="J91" s="49"/>
      <c r="K91" s="53"/>
      <c r="L91" s="307"/>
      <c r="M91" s="53"/>
      <c r="N91" s="49"/>
      <c r="O91" s="55" t="str">
        <f t="shared" si="6"/>
        <v>01</v>
      </c>
    </row>
    <row r="92" spans="2:15" x14ac:dyDescent="0.25">
      <c r="B92" s="49"/>
      <c r="C92" s="49"/>
      <c r="D92" s="49"/>
      <c r="E92" s="49"/>
      <c r="F92" s="49"/>
      <c r="G92" s="49"/>
      <c r="H92" s="304"/>
      <c r="I92" s="49"/>
      <c r="J92" s="49"/>
      <c r="K92" s="53"/>
      <c r="L92" s="307"/>
      <c r="M92" s="53"/>
      <c r="N92" s="49"/>
      <c r="O92" s="55" t="str">
        <f t="shared" si="6"/>
        <v>01</v>
      </c>
    </row>
    <row r="93" spans="2:15" x14ac:dyDescent="0.25">
      <c r="B93" s="49"/>
      <c r="C93" s="49"/>
      <c r="D93" s="49"/>
      <c r="E93" s="49"/>
      <c r="F93" s="49"/>
      <c r="G93" s="49"/>
      <c r="H93" s="304"/>
      <c r="I93" s="49"/>
      <c r="J93" s="49"/>
      <c r="K93" s="53"/>
      <c r="L93" s="307"/>
      <c r="M93" s="53"/>
      <c r="N93" s="49"/>
      <c r="O93" s="55" t="str">
        <f t="shared" si="6"/>
        <v>01</v>
      </c>
    </row>
    <row r="94" spans="2:15" x14ac:dyDescent="0.25">
      <c r="B94" s="49"/>
      <c r="C94" s="49"/>
      <c r="D94" s="49"/>
      <c r="E94" s="49"/>
      <c r="F94" s="49"/>
      <c r="G94" s="49"/>
      <c r="H94" s="304"/>
      <c r="I94" s="49"/>
      <c r="J94" s="49"/>
      <c r="K94" s="53"/>
      <c r="L94" s="307"/>
      <c r="M94" s="53"/>
      <c r="N94" s="49"/>
      <c r="O94" s="55" t="str">
        <f t="shared" si="6"/>
        <v>01</v>
      </c>
    </row>
    <row r="95" spans="2:15" x14ac:dyDescent="0.25">
      <c r="B95" s="49"/>
      <c r="C95" s="49"/>
      <c r="D95" s="49"/>
      <c r="E95" s="49"/>
      <c r="F95" s="49"/>
      <c r="G95" s="49"/>
      <c r="H95" s="304"/>
      <c r="I95" s="49"/>
      <c r="J95" s="49"/>
      <c r="K95" s="53"/>
      <c r="L95" s="307"/>
      <c r="M95" s="53"/>
      <c r="N95" s="49"/>
      <c r="O95" s="55" t="str">
        <f t="shared" si="6"/>
        <v>01</v>
      </c>
    </row>
    <row r="96" spans="2:15" x14ac:dyDescent="0.25">
      <c r="B96" s="49"/>
      <c r="C96" s="49"/>
      <c r="D96" s="49"/>
      <c r="E96" s="49"/>
      <c r="F96" s="49"/>
      <c r="G96" s="49"/>
      <c r="H96" s="304"/>
      <c r="I96" s="49"/>
      <c r="J96" s="49"/>
      <c r="K96" s="53"/>
      <c r="L96" s="307"/>
      <c r="M96" s="53"/>
      <c r="N96" s="49"/>
      <c r="O96" s="55" t="str">
        <f t="shared" si="6"/>
        <v>01</v>
      </c>
    </row>
    <row r="97" spans="2:15" x14ac:dyDescent="0.25">
      <c r="B97" s="49"/>
      <c r="C97" s="49"/>
      <c r="D97" s="49"/>
      <c r="E97" s="49"/>
      <c r="F97" s="49"/>
      <c r="G97" s="49"/>
      <c r="H97" s="304"/>
      <c r="I97" s="49"/>
      <c r="J97" s="49"/>
      <c r="K97" s="53"/>
      <c r="L97" s="307"/>
      <c r="M97" s="53"/>
      <c r="N97" s="49"/>
      <c r="O97" s="55" t="str">
        <f t="shared" si="6"/>
        <v>01</v>
      </c>
    </row>
    <row r="98" spans="2:15" x14ac:dyDescent="0.25">
      <c r="B98" s="49"/>
      <c r="C98" s="49"/>
      <c r="D98" s="49"/>
      <c r="E98" s="49"/>
      <c r="F98" s="49"/>
      <c r="G98" s="49"/>
      <c r="H98" s="304"/>
      <c r="I98" s="49"/>
      <c r="J98" s="49"/>
      <c r="K98" s="53"/>
      <c r="L98" s="307"/>
      <c r="M98" s="53"/>
      <c r="N98" s="49"/>
      <c r="O98" s="55" t="str">
        <f t="shared" si="6"/>
        <v>01</v>
      </c>
    </row>
    <row r="99" spans="2:15" x14ac:dyDescent="0.25">
      <c r="B99" s="49"/>
      <c r="C99" s="49"/>
      <c r="D99" s="49"/>
      <c r="E99" s="49"/>
      <c r="F99" s="49"/>
      <c r="G99" s="49"/>
      <c r="H99" s="304"/>
      <c r="I99" s="49"/>
      <c r="J99" s="49"/>
      <c r="K99" s="53"/>
      <c r="L99" s="307"/>
      <c r="M99" s="53"/>
      <c r="N99" s="49"/>
      <c r="O99" s="55" t="str">
        <f t="shared" si="6"/>
        <v>01</v>
      </c>
    </row>
    <row r="100" spans="2:15" x14ac:dyDescent="0.25">
      <c r="B100" s="49"/>
      <c r="C100" s="49"/>
      <c r="D100" s="49"/>
      <c r="E100" s="49"/>
      <c r="F100" s="49"/>
      <c r="G100" s="49"/>
      <c r="H100" s="304"/>
      <c r="I100" s="49"/>
      <c r="J100" s="49"/>
      <c r="K100" s="53"/>
      <c r="L100" s="307"/>
      <c r="M100" s="53"/>
      <c r="N100" s="49"/>
      <c r="O100" s="55" t="str">
        <f t="shared" si="6"/>
        <v>01</v>
      </c>
    </row>
    <row r="101" spans="2:15" x14ac:dyDescent="0.25">
      <c r="B101" s="49"/>
      <c r="C101" s="49"/>
      <c r="D101" s="49"/>
      <c r="E101" s="49"/>
      <c r="F101" s="49"/>
      <c r="G101" s="49"/>
      <c r="H101" s="304"/>
      <c r="I101" s="49"/>
      <c r="J101" s="49"/>
      <c r="K101" s="53"/>
      <c r="L101" s="307"/>
      <c r="M101" s="53"/>
      <c r="N101" s="49"/>
      <c r="O101" s="55" t="str">
        <f t="shared" si="6"/>
        <v>01</v>
      </c>
    </row>
    <row r="102" spans="2:15" x14ac:dyDescent="0.25">
      <c r="B102" s="49"/>
      <c r="C102" s="49"/>
      <c r="D102" s="49"/>
      <c r="E102" s="49"/>
      <c r="F102" s="49"/>
      <c r="G102" s="49"/>
      <c r="H102" s="304"/>
      <c r="I102" s="49"/>
      <c r="J102" s="49"/>
      <c r="K102" s="53"/>
      <c r="L102" s="307"/>
      <c r="M102" s="53"/>
      <c r="N102" s="49"/>
      <c r="O102" s="55" t="str">
        <f t="shared" si="6"/>
        <v>01</v>
      </c>
    </row>
    <row r="103" spans="2:15" x14ac:dyDescent="0.25">
      <c r="B103" s="49"/>
      <c r="C103" s="49"/>
      <c r="D103" s="49"/>
      <c r="E103" s="49"/>
      <c r="F103" s="49"/>
      <c r="G103" s="49"/>
      <c r="H103" s="304"/>
      <c r="I103" s="49"/>
      <c r="J103" s="49"/>
      <c r="K103" s="53"/>
      <c r="L103" s="307"/>
      <c r="M103" s="53"/>
      <c r="N103" s="49"/>
      <c r="O103" s="55" t="str">
        <f t="shared" si="6"/>
        <v>01</v>
      </c>
    </row>
    <row r="104" spans="2:15" x14ac:dyDescent="0.25">
      <c r="B104" s="49"/>
      <c r="C104" s="49"/>
      <c r="D104" s="49"/>
      <c r="E104" s="49"/>
      <c r="F104" s="49"/>
      <c r="G104" s="49"/>
      <c r="H104" s="304"/>
      <c r="I104" s="49"/>
      <c r="J104" s="49"/>
      <c r="K104" s="53"/>
      <c r="L104" s="307"/>
      <c r="M104" s="53"/>
      <c r="N104" s="49"/>
      <c r="O104" s="55" t="str">
        <f t="shared" si="6"/>
        <v>01</v>
      </c>
    </row>
    <row r="105" spans="2:15" x14ac:dyDescent="0.25">
      <c r="B105" s="49"/>
      <c r="C105" s="49"/>
      <c r="D105" s="49"/>
      <c r="E105" s="49"/>
      <c r="F105" s="49"/>
      <c r="G105" s="49"/>
      <c r="H105" s="304"/>
      <c r="I105" s="49"/>
      <c r="J105" s="49"/>
      <c r="K105" s="53"/>
      <c r="L105" s="307"/>
      <c r="M105" s="53"/>
      <c r="N105" s="49"/>
      <c r="O105" s="55" t="str">
        <f t="shared" si="6"/>
        <v>01</v>
      </c>
    </row>
    <row r="106" spans="2:15" x14ac:dyDescent="0.25">
      <c r="B106" s="49"/>
      <c r="C106" s="49"/>
      <c r="D106" s="49"/>
      <c r="E106" s="49"/>
      <c r="F106" s="49"/>
      <c r="G106" s="49"/>
      <c r="H106" s="304"/>
      <c r="I106" s="49"/>
      <c r="J106" s="49"/>
      <c r="K106" s="53"/>
      <c r="L106" s="307"/>
      <c r="M106" s="53"/>
      <c r="N106" s="49"/>
      <c r="O106" s="55" t="str">
        <f t="shared" si="6"/>
        <v>01</v>
      </c>
    </row>
    <row r="107" spans="2:15" x14ac:dyDescent="0.25">
      <c r="B107" s="49"/>
      <c r="C107" s="49"/>
      <c r="D107" s="49"/>
      <c r="E107" s="49"/>
      <c r="F107" s="49"/>
      <c r="G107" s="49"/>
      <c r="H107" s="304"/>
      <c r="I107" s="49"/>
      <c r="J107" s="49"/>
      <c r="K107" s="53"/>
      <c r="L107" s="307"/>
      <c r="M107" s="53"/>
      <c r="N107" s="49"/>
      <c r="O107" s="55" t="str">
        <f t="shared" si="6"/>
        <v>01</v>
      </c>
    </row>
    <row r="108" spans="2:15" x14ac:dyDescent="0.25">
      <c r="B108" s="49"/>
      <c r="C108" s="49"/>
      <c r="D108" s="49"/>
      <c r="E108" s="49"/>
      <c r="F108" s="49"/>
      <c r="G108" s="49"/>
      <c r="H108" s="304"/>
      <c r="I108" s="49"/>
      <c r="J108" s="49"/>
      <c r="K108" s="53"/>
      <c r="L108" s="307"/>
      <c r="M108" s="53"/>
      <c r="N108" s="49"/>
      <c r="O108" s="55" t="str">
        <f t="shared" si="6"/>
        <v>01</v>
      </c>
    </row>
    <row r="109" spans="2:15" x14ac:dyDescent="0.25">
      <c r="B109" s="49"/>
      <c r="C109" s="49"/>
      <c r="D109" s="49"/>
      <c r="E109" s="49"/>
      <c r="F109" s="49"/>
      <c r="G109" s="49"/>
      <c r="H109" s="304"/>
      <c r="I109" s="49"/>
      <c r="J109" s="49"/>
      <c r="K109" s="53"/>
      <c r="L109" s="307"/>
      <c r="M109" s="53"/>
      <c r="N109" s="49"/>
      <c r="O109" s="55" t="str">
        <f t="shared" si="6"/>
        <v>01</v>
      </c>
    </row>
    <row r="110" spans="2:15" x14ac:dyDescent="0.25">
      <c r="B110" s="49"/>
      <c r="C110" s="49"/>
      <c r="D110" s="49"/>
      <c r="E110" s="49"/>
      <c r="F110" s="49"/>
      <c r="G110" s="49"/>
      <c r="H110" s="304"/>
      <c r="I110" s="49"/>
      <c r="J110" s="49"/>
      <c r="K110" s="53"/>
      <c r="L110" s="307"/>
      <c r="M110" s="53"/>
      <c r="N110" s="49"/>
      <c r="O110" s="55" t="str">
        <f t="shared" si="6"/>
        <v>01</v>
      </c>
    </row>
    <row r="111" spans="2:15" x14ac:dyDescent="0.25">
      <c r="B111" s="49"/>
      <c r="C111" s="49"/>
      <c r="D111" s="49"/>
      <c r="E111" s="49"/>
      <c r="F111" s="49"/>
      <c r="G111" s="49"/>
      <c r="H111" s="304"/>
      <c r="I111" s="49"/>
      <c r="J111" s="49"/>
      <c r="K111" s="53"/>
      <c r="L111" s="307"/>
      <c r="M111" s="53"/>
      <c r="N111" s="49"/>
      <c r="O111" s="55" t="str">
        <f t="shared" si="6"/>
        <v>01</v>
      </c>
    </row>
    <row r="112" spans="2:15" x14ac:dyDescent="0.25">
      <c r="H112" s="305"/>
      <c r="K112" s="54"/>
      <c r="L112" s="308"/>
      <c r="M112" s="54"/>
      <c r="O112" s="55" t="str">
        <f t="shared" si="6"/>
        <v>01</v>
      </c>
    </row>
    <row r="113" spans="8:15" x14ac:dyDescent="0.25">
      <c r="H113" s="305"/>
      <c r="K113" s="54"/>
      <c r="L113" s="308"/>
      <c r="M113" s="54"/>
      <c r="O113" s="55" t="str">
        <f t="shared" si="6"/>
        <v>01</v>
      </c>
    </row>
    <row r="114" spans="8:15" x14ac:dyDescent="0.25">
      <c r="H114" s="305"/>
      <c r="K114" s="54"/>
      <c r="L114" s="308"/>
      <c r="M114" s="54"/>
      <c r="O114" s="55" t="str">
        <f t="shared" si="6"/>
        <v>01</v>
      </c>
    </row>
    <row r="115" spans="8:15" x14ac:dyDescent="0.25">
      <c r="H115" s="305"/>
      <c r="K115" s="54"/>
      <c r="L115" s="308"/>
      <c r="M115" s="54"/>
      <c r="O115" s="55" t="str">
        <f t="shared" si="6"/>
        <v>01</v>
      </c>
    </row>
    <row r="116" spans="8:15" x14ac:dyDescent="0.25">
      <c r="H116" s="305"/>
      <c r="K116" s="54"/>
      <c r="L116" s="308"/>
      <c r="M116" s="54"/>
      <c r="O116" s="55" t="str">
        <f t="shared" si="6"/>
        <v>01</v>
      </c>
    </row>
    <row r="117" spans="8:15" x14ac:dyDescent="0.25">
      <c r="H117" s="305"/>
      <c r="K117" s="54"/>
      <c r="L117" s="308"/>
      <c r="M117" s="54"/>
      <c r="O117" s="55" t="str">
        <f t="shared" si="6"/>
        <v>01</v>
      </c>
    </row>
    <row r="118" spans="8:15" x14ac:dyDescent="0.25">
      <c r="H118" s="305"/>
      <c r="K118" s="54"/>
      <c r="L118" s="308"/>
      <c r="M118" s="54"/>
      <c r="O118" s="55" t="str">
        <f t="shared" si="6"/>
        <v>01</v>
      </c>
    </row>
    <row r="119" spans="8:15" x14ac:dyDescent="0.25">
      <c r="H119" s="305"/>
      <c r="K119" s="54"/>
      <c r="L119" s="308"/>
      <c r="M119" s="54"/>
      <c r="O119" s="55" t="str">
        <f t="shared" si="6"/>
        <v>01</v>
      </c>
    </row>
    <row r="120" spans="8:15" x14ac:dyDescent="0.25">
      <c r="H120" s="305"/>
      <c r="K120" s="54"/>
      <c r="L120" s="308"/>
      <c r="M120" s="54"/>
      <c r="O120" s="55" t="str">
        <f t="shared" si="6"/>
        <v>01</v>
      </c>
    </row>
    <row r="121" spans="8:15" x14ac:dyDescent="0.25">
      <c r="H121" s="305"/>
      <c r="K121" s="54"/>
      <c r="L121" s="308"/>
      <c r="M121" s="54"/>
      <c r="O121" s="55" t="str">
        <f t="shared" si="6"/>
        <v>01</v>
      </c>
    </row>
    <row r="122" spans="8:15" x14ac:dyDescent="0.25">
      <c r="H122" s="305"/>
      <c r="O122" s="55" t="str">
        <f t="shared" si="6"/>
        <v>01</v>
      </c>
    </row>
    <row r="123" spans="8:15" x14ac:dyDescent="0.25">
      <c r="H123" s="305"/>
      <c r="O123" s="55" t="str">
        <f t="shared" si="6"/>
        <v>01</v>
      </c>
    </row>
    <row r="124" spans="8:15" x14ac:dyDescent="0.25">
      <c r="H124" s="305"/>
      <c r="O124" s="55" t="str">
        <f t="shared" si="6"/>
        <v>01</v>
      </c>
    </row>
    <row r="125" spans="8:15" x14ac:dyDescent="0.25">
      <c r="H125" s="305"/>
      <c r="O125" s="55" t="str">
        <f t="shared" si="6"/>
        <v>01</v>
      </c>
    </row>
    <row r="126" spans="8:15" x14ac:dyDescent="0.25">
      <c r="H126" s="305"/>
      <c r="O126" s="55" t="str">
        <f t="shared" si="6"/>
        <v>01</v>
      </c>
    </row>
    <row r="127" spans="8:15" x14ac:dyDescent="0.25">
      <c r="H127" s="305"/>
      <c r="O127" s="55" t="str">
        <f t="shared" si="6"/>
        <v>01</v>
      </c>
    </row>
    <row r="128" spans="8:15" x14ac:dyDescent="0.25">
      <c r="H128" s="305"/>
      <c r="O128" s="55" t="str">
        <f t="shared" si="6"/>
        <v>01</v>
      </c>
    </row>
    <row r="129" spans="8:15" x14ac:dyDescent="0.25">
      <c r="H129" s="305"/>
      <c r="O129" s="55" t="str">
        <f t="shared" si="6"/>
        <v>01</v>
      </c>
    </row>
    <row r="130" spans="8:15" x14ac:dyDescent="0.25">
      <c r="H130" s="305"/>
      <c r="O130" s="55" t="str">
        <f t="shared" si="6"/>
        <v>01</v>
      </c>
    </row>
    <row r="131" spans="8:15" x14ac:dyDescent="0.25">
      <c r="H131" s="305"/>
      <c r="O131" s="55" t="str">
        <f t="shared" si="6"/>
        <v>01</v>
      </c>
    </row>
    <row r="132" spans="8:15" x14ac:dyDescent="0.25">
      <c r="H132" s="305"/>
      <c r="O132" s="55" t="str">
        <f t="shared" si="6"/>
        <v>01</v>
      </c>
    </row>
    <row r="133" spans="8:15" x14ac:dyDescent="0.25">
      <c r="H133" s="305"/>
      <c r="O133" s="55" t="str">
        <f t="shared" si="6"/>
        <v>01</v>
      </c>
    </row>
    <row r="134" spans="8:15" x14ac:dyDescent="0.25">
      <c r="H134" s="305"/>
      <c r="O134" s="55" t="str">
        <f t="shared" si="6"/>
        <v>01</v>
      </c>
    </row>
    <row r="135" spans="8:15" x14ac:dyDescent="0.25">
      <c r="H135" s="305"/>
      <c r="O135" s="55" t="str">
        <f t="shared" si="6"/>
        <v>01</v>
      </c>
    </row>
    <row r="136" spans="8:15" x14ac:dyDescent="0.25">
      <c r="H136" s="305"/>
      <c r="O136" s="55" t="str">
        <f t="shared" si="6"/>
        <v>01</v>
      </c>
    </row>
    <row r="137" spans="8:15" x14ac:dyDescent="0.25">
      <c r="H137" s="305"/>
      <c r="O137" s="55" t="str">
        <f t="shared" si="6"/>
        <v>01</v>
      </c>
    </row>
    <row r="138" spans="8:15" x14ac:dyDescent="0.25">
      <c r="H138" s="305"/>
      <c r="O138" s="55" t="str">
        <f t="shared" si="6"/>
        <v>01</v>
      </c>
    </row>
    <row r="139" spans="8:15" x14ac:dyDescent="0.25">
      <c r="H139" s="305"/>
      <c r="O139" s="55" t="str">
        <f t="shared" si="6"/>
        <v>01</v>
      </c>
    </row>
    <row r="140" spans="8:15" x14ac:dyDescent="0.25">
      <c r="H140" s="305"/>
      <c r="O140" s="55" t="str">
        <f t="shared" si="6"/>
        <v>01</v>
      </c>
    </row>
    <row r="141" spans="8:15" x14ac:dyDescent="0.25">
      <c r="H141" s="305"/>
      <c r="O141" s="55" t="str">
        <f t="shared" si="6"/>
        <v>01</v>
      </c>
    </row>
    <row r="142" spans="8:15" x14ac:dyDescent="0.25">
      <c r="H142" s="305"/>
      <c r="O142" s="55" t="str">
        <f t="shared" si="6"/>
        <v>01</v>
      </c>
    </row>
    <row r="143" spans="8:15" x14ac:dyDescent="0.25">
      <c r="H143" s="305"/>
      <c r="O143" s="55" t="str">
        <f t="shared" si="6"/>
        <v>01</v>
      </c>
    </row>
    <row r="144" spans="8:15" x14ac:dyDescent="0.25">
      <c r="H144" s="305"/>
      <c r="O144" s="55" t="str">
        <f t="shared" si="6"/>
        <v>01</v>
      </c>
    </row>
    <row r="145" spans="8:15" x14ac:dyDescent="0.25">
      <c r="H145" s="305"/>
      <c r="O145" s="55" t="str">
        <f t="shared" si="6"/>
        <v>01</v>
      </c>
    </row>
    <row r="146" spans="8:15" x14ac:dyDescent="0.25">
      <c r="H146" s="305"/>
      <c r="O146" s="55" t="str">
        <f t="shared" si="6"/>
        <v>01</v>
      </c>
    </row>
    <row r="147" spans="8:15" x14ac:dyDescent="0.25">
      <c r="H147" s="305"/>
      <c r="O147" s="55" t="str">
        <f t="shared" si="6"/>
        <v>01</v>
      </c>
    </row>
    <row r="148" spans="8:15" x14ac:dyDescent="0.25">
      <c r="H148" s="305"/>
      <c r="O148" s="55" t="str">
        <f t="shared" si="6"/>
        <v>01</v>
      </c>
    </row>
    <row r="149" spans="8:15" x14ac:dyDescent="0.25">
      <c r="H149" s="305"/>
      <c r="O149" s="55" t="str">
        <f t="shared" si="6"/>
        <v>01</v>
      </c>
    </row>
    <row r="150" spans="8:15" x14ac:dyDescent="0.25">
      <c r="H150" s="305"/>
      <c r="O150" s="55" t="str">
        <f t="shared" si="6"/>
        <v>01</v>
      </c>
    </row>
    <row r="151" spans="8:15" x14ac:dyDescent="0.25">
      <c r="H151" s="305"/>
      <c r="O151" s="55" t="str">
        <f t="shared" si="6"/>
        <v>01</v>
      </c>
    </row>
    <row r="152" spans="8:15" x14ac:dyDescent="0.25">
      <c r="H152" s="305"/>
      <c r="O152" s="55" t="str">
        <f t="shared" si="6"/>
        <v>01</v>
      </c>
    </row>
    <row r="153" spans="8:15" x14ac:dyDescent="0.25">
      <c r="H153" s="305"/>
      <c r="O153" s="55" t="str">
        <f t="shared" si="6"/>
        <v>01</v>
      </c>
    </row>
    <row r="154" spans="8:15" x14ac:dyDescent="0.25">
      <c r="H154" s="305"/>
      <c r="O154" s="55" t="str">
        <f t="shared" ref="O154:O217" si="7">+TEXT(H154,"MM")</f>
        <v>01</v>
      </c>
    </row>
    <row r="155" spans="8:15" x14ac:dyDescent="0.25">
      <c r="H155" s="305"/>
      <c r="O155" s="55" t="str">
        <f t="shared" si="7"/>
        <v>01</v>
      </c>
    </row>
    <row r="156" spans="8:15" x14ac:dyDescent="0.25">
      <c r="H156" s="305"/>
      <c r="O156" s="55" t="str">
        <f t="shared" si="7"/>
        <v>01</v>
      </c>
    </row>
    <row r="157" spans="8:15" x14ac:dyDescent="0.25">
      <c r="H157" s="305"/>
      <c r="O157" s="55" t="str">
        <f t="shared" si="7"/>
        <v>01</v>
      </c>
    </row>
    <row r="158" spans="8:15" x14ac:dyDescent="0.25">
      <c r="H158" s="305"/>
      <c r="O158" s="55" t="str">
        <f t="shared" si="7"/>
        <v>01</v>
      </c>
    </row>
    <row r="159" spans="8:15" x14ac:dyDescent="0.25">
      <c r="H159" s="305"/>
      <c r="O159" s="55" t="str">
        <f t="shared" si="7"/>
        <v>01</v>
      </c>
    </row>
    <row r="160" spans="8:15" x14ac:dyDescent="0.25">
      <c r="H160" s="305"/>
      <c r="O160" s="55" t="str">
        <f t="shared" si="7"/>
        <v>01</v>
      </c>
    </row>
    <row r="161" spans="8:15" x14ac:dyDescent="0.25">
      <c r="H161" s="305"/>
      <c r="O161" s="55" t="str">
        <f t="shared" si="7"/>
        <v>01</v>
      </c>
    </row>
    <row r="162" spans="8:15" x14ac:dyDescent="0.25">
      <c r="H162" s="305"/>
      <c r="O162" s="55" t="str">
        <f t="shared" si="7"/>
        <v>01</v>
      </c>
    </row>
    <row r="163" spans="8:15" x14ac:dyDescent="0.25">
      <c r="H163" s="305"/>
      <c r="O163" s="55" t="str">
        <f t="shared" si="7"/>
        <v>01</v>
      </c>
    </row>
    <row r="164" spans="8:15" x14ac:dyDescent="0.25">
      <c r="H164" s="305"/>
      <c r="O164" s="55" t="str">
        <f t="shared" si="7"/>
        <v>01</v>
      </c>
    </row>
    <row r="165" spans="8:15" x14ac:dyDescent="0.25">
      <c r="H165" s="305"/>
      <c r="O165" s="55" t="str">
        <f t="shared" si="7"/>
        <v>01</v>
      </c>
    </row>
    <row r="166" spans="8:15" x14ac:dyDescent="0.25">
      <c r="H166" s="305"/>
      <c r="O166" s="55" t="str">
        <f t="shared" si="7"/>
        <v>01</v>
      </c>
    </row>
    <row r="167" spans="8:15" x14ac:dyDescent="0.25">
      <c r="H167" s="305"/>
      <c r="O167" s="55" t="str">
        <f t="shared" si="7"/>
        <v>01</v>
      </c>
    </row>
    <row r="168" spans="8:15" x14ac:dyDescent="0.25">
      <c r="H168" s="305"/>
      <c r="O168" s="55" t="str">
        <f t="shared" si="7"/>
        <v>01</v>
      </c>
    </row>
    <row r="169" spans="8:15" x14ac:dyDescent="0.25">
      <c r="H169" s="305"/>
      <c r="O169" s="55" t="str">
        <f t="shared" si="7"/>
        <v>01</v>
      </c>
    </row>
    <row r="170" spans="8:15" x14ac:dyDescent="0.25">
      <c r="H170" s="305"/>
      <c r="O170" s="55" t="str">
        <f t="shared" si="7"/>
        <v>01</v>
      </c>
    </row>
    <row r="171" spans="8:15" x14ac:dyDescent="0.25">
      <c r="H171" s="305"/>
      <c r="O171" s="55" t="str">
        <f t="shared" si="7"/>
        <v>01</v>
      </c>
    </row>
    <row r="172" spans="8:15" x14ac:dyDescent="0.25">
      <c r="H172" s="305"/>
      <c r="O172" s="55" t="str">
        <f t="shared" si="7"/>
        <v>01</v>
      </c>
    </row>
    <row r="173" spans="8:15" x14ac:dyDescent="0.25">
      <c r="H173" s="305"/>
      <c r="O173" s="55" t="str">
        <f t="shared" si="7"/>
        <v>01</v>
      </c>
    </row>
    <row r="174" spans="8:15" x14ac:dyDescent="0.25">
      <c r="H174" s="305"/>
      <c r="O174" s="55" t="str">
        <f t="shared" si="7"/>
        <v>01</v>
      </c>
    </row>
    <row r="175" spans="8:15" x14ac:dyDescent="0.25">
      <c r="H175" s="305"/>
      <c r="O175" s="55" t="str">
        <f t="shared" si="7"/>
        <v>01</v>
      </c>
    </row>
    <row r="176" spans="8:15" x14ac:dyDescent="0.25">
      <c r="H176" s="305"/>
      <c r="O176" s="55" t="str">
        <f t="shared" si="7"/>
        <v>01</v>
      </c>
    </row>
    <row r="177" spans="8:15" x14ac:dyDescent="0.25">
      <c r="H177" s="305"/>
      <c r="O177" s="55" t="str">
        <f t="shared" si="7"/>
        <v>01</v>
      </c>
    </row>
    <row r="178" spans="8:15" x14ac:dyDescent="0.25">
      <c r="H178" s="305"/>
      <c r="O178" s="55" t="str">
        <f t="shared" si="7"/>
        <v>01</v>
      </c>
    </row>
    <row r="179" spans="8:15" x14ac:dyDescent="0.25">
      <c r="H179" s="305"/>
      <c r="O179" s="55" t="str">
        <f t="shared" si="7"/>
        <v>01</v>
      </c>
    </row>
    <row r="180" spans="8:15" x14ac:dyDescent="0.25">
      <c r="H180" s="305"/>
      <c r="O180" s="55" t="str">
        <f t="shared" si="7"/>
        <v>01</v>
      </c>
    </row>
    <row r="181" spans="8:15" x14ac:dyDescent="0.25">
      <c r="H181" s="305"/>
      <c r="O181" s="55" t="str">
        <f t="shared" si="7"/>
        <v>01</v>
      </c>
    </row>
    <row r="182" spans="8:15" x14ac:dyDescent="0.25">
      <c r="H182" s="305"/>
      <c r="O182" s="55" t="str">
        <f t="shared" si="7"/>
        <v>01</v>
      </c>
    </row>
    <row r="183" spans="8:15" x14ac:dyDescent="0.25">
      <c r="H183" s="305"/>
      <c r="O183" s="55" t="str">
        <f t="shared" si="7"/>
        <v>01</v>
      </c>
    </row>
    <row r="184" spans="8:15" x14ac:dyDescent="0.25">
      <c r="H184" s="305"/>
      <c r="O184" s="55" t="str">
        <f t="shared" si="7"/>
        <v>01</v>
      </c>
    </row>
    <row r="185" spans="8:15" x14ac:dyDescent="0.25">
      <c r="H185" s="305"/>
      <c r="O185" s="55" t="str">
        <f t="shared" si="7"/>
        <v>01</v>
      </c>
    </row>
    <row r="186" spans="8:15" x14ac:dyDescent="0.25">
      <c r="H186" s="305"/>
      <c r="O186" s="55" t="str">
        <f t="shared" si="7"/>
        <v>01</v>
      </c>
    </row>
    <row r="187" spans="8:15" x14ac:dyDescent="0.25">
      <c r="H187" s="305"/>
      <c r="O187" s="55" t="str">
        <f t="shared" si="7"/>
        <v>01</v>
      </c>
    </row>
    <row r="188" spans="8:15" x14ac:dyDescent="0.25">
      <c r="H188" s="305"/>
      <c r="O188" s="55" t="str">
        <f t="shared" si="7"/>
        <v>01</v>
      </c>
    </row>
    <row r="189" spans="8:15" x14ac:dyDescent="0.25">
      <c r="H189" s="305"/>
      <c r="O189" s="55" t="str">
        <f t="shared" si="7"/>
        <v>01</v>
      </c>
    </row>
    <row r="190" spans="8:15" x14ac:dyDescent="0.25">
      <c r="H190" s="305"/>
      <c r="O190" s="55" t="str">
        <f t="shared" si="7"/>
        <v>01</v>
      </c>
    </row>
    <row r="191" spans="8:15" x14ac:dyDescent="0.25">
      <c r="H191" s="305"/>
      <c r="O191" s="55" t="str">
        <f t="shared" si="7"/>
        <v>01</v>
      </c>
    </row>
    <row r="192" spans="8:15" x14ac:dyDescent="0.25">
      <c r="H192" s="305"/>
      <c r="O192" s="55" t="str">
        <f t="shared" si="7"/>
        <v>01</v>
      </c>
    </row>
    <row r="193" spans="8:15" x14ac:dyDescent="0.25">
      <c r="H193" s="305"/>
      <c r="O193" s="55" t="str">
        <f t="shared" si="7"/>
        <v>01</v>
      </c>
    </row>
    <row r="194" spans="8:15" x14ac:dyDescent="0.25">
      <c r="H194" s="305"/>
      <c r="O194" s="55" t="str">
        <f t="shared" si="7"/>
        <v>01</v>
      </c>
    </row>
    <row r="195" spans="8:15" x14ac:dyDescent="0.25">
      <c r="H195" s="305"/>
      <c r="O195" s="55" t="str">
        <f t="shared" si="7"/>
        <v>01</v>
      </c>
    </row>
    <row r="196" spans="8:15" x14ac:dyDescent="0.25">
      <c r="H196" s="305"/>
      <c r="O196" s="55" t="str">
        <f t="shared" si="7"/>
        <v>01</v>
      </c>
    </row>
    <row r="197" spans="8:15" x14ac:dyDescent="0.25">
      <c r="H197" s="305"/>
      <c r="O197" s="55" t="str">
        <f t="shared" si="7"/>
        <v>01</v>
      </c>
    </row>
    <row r="198" spans="8:15" x14ac:dyDescent="0.25">
      <c r="H198" s="305"/>
      <c r="O198" s="55" t="str">
        <f t="shared" si="7"/>
        <v>01</v>
      </c>
    </row>
    <row r="199" spans="8:15" x14ac:dyDescent="0.25">
      <c r="H199" s="305"/>
      <c r="O199" s="55" t="str">
        <f t="shared" si="7"/>
        <v>01</v>
      </c>
    </row>
    <row r="200" spans="8:15" x14ac:dyDescent="0.25">
      <c r="H200" s="305"/>
      <c r="O200" s="55" t="str">
        <f t="shared" si="7"/>
        <v>01</v>
      </c>
    </row>
    <row r="201" spans="8:15" x14ac:dyDescent="0.25">
      <c r="H201" s="305"/>
      <c r="O201" s="55" t="str">
        <f t="shared" si="7"/>
        <v>01</v>
      </c>
    </row>
    <row r="202" spans="8:15" x14ac:dyDescent="0.25">
      <c r="H202" s="305"/>
      <c r="O202" s="55" t="str">
        <f t="shared" si="7"/>
        <v>01</v>
      </c>
    </row>
    <row r="203" spans="8:15" x14ac:dyDescent="0.25">
      <c r="H203" s="305"/>
      <c r="O203" s="55" t="str">
        <f t="shared" si="7"/>
        <v>01</v>
      </c>
    </row>
    <row r="204" spans="8:15" x14ac:dyDescent="0.25">
      <c r="H204" s="305"/>
      <c r="O204" s="55" t="str">
        <f t="shared" si="7"/>
        <v>01</v>
      </c>
    </row>
    <row r="205" spans="8:15" x14ac:dyDescent="0.25">
      <c r="H205" s="305"/>
      <c r="O205" s="55" t="str">
        <f t="shared" si="7"/>
        <v>01</v>
      </c>
    </row>
    <row r="206" spans="8:15" x14ac:dyDescent="0.25">
      <c r="H206" s="305"/>
      <c r="O206" s="55" t="str">
        <f t="shared" si="7"/>
        <v>01</v>
      </c>
    </row>
    <row r="207" spans="8:15" x14ac:dyDescent="0.25">
      <c r="H207" s="305"/>
      <c r="O207" s="55" t="str">
        <f t="shared" si="7"/>
        <v>01</v>
      </c>
    </row>
    <row r="208" spans="8:15" x14ac:dyDescent="0.25">
      <c r="H208" s="305"/>
      <c r="O208" s="55" t="str">
        <f t="shared" si="7"/>
        <v>01</v>
      </c>
    </row>
    <row r="209" spans="8:15" x14ac:dyDescent="0.25">
      <c r="H209" s="305"/>
      <c r="O209" s="55" t="str">
        <f t="shared" si="7"/>
        <v>01</v>
      </c>
    </row>
    <row r="210" spans="8:15" x14ac:dyDescent="0.25">
      <c r="H210" s="305"/>
      <c r="O210" s="55" t="str">
        <f t="shared" si="7"/>
        <v>01</v>
      </c>
    </row>
    <row r="211" spans="8:15" x14ac:dyDescent="0.25">
      <c r="H211" s="305"/>
      <c r="O211" s="55" t="str">
        <f t="shared" si="7"/>
        <v>01</v>
      </c>
    </row>
    <row r="212" spans="8:15" x14ac:dyDescent="0.25">
      <c r="H212" s="305"/>
      <c r="O212" s="55" t="str">
        <f t="shared" si="7"/>
        <v>01</v>
      </c>
    </row>
    <row r="213" spans="8:15" x14ac:dyDescent="0.25">
      <c r="H213" s="305"/>
      <c r="O213" s="55" t="str">
        <f t="shared" si="7"/>
        <v>01</v>
      </c>
    </row>
    <row r="214" spans="8:15" x14ac:dyDescent="0.25">
      <c r="H214" s="305"/>
      <c r="O214" s="55" t="str">
        <f t="shared" si="7"/>
        <v>01</v>
      </c>
    </row>
    <row r="215" spans="8:15" x14ac:dyDescent="0.25">
      <c r="H215" s="305"/>
      <c r="O215" s="55" t="str">
        <f t="shared" si="7"/>
        <v>01</v>
      </c>
    </row>
    <row r="216" spans="8:15" x14ac:dyDescent="0.25">
      <c r="H216" s="305"/>
      <c r="O216" s="55" t="str">
        <f t="shared" si="7"/>
        <v>01</v>
      </c>
    </row>
    <row r="217" spans="8:15" x14ac:dyDescent="0.25">
      <c r="H217" s="305"/>
      <c r="O217" s="55" t="str">
        <f t="shared" si="7"/>
        <v>01</v>
      </c>
    </row>
    <row r="218" spans="8:15" x14ac:dyDescent="0.25">
      <c r="H218" s="305"/>
      <c r="O218" s="55" t="str">
        <f t="shared" ref="O218:O281" si="8">+TEXT(H218,"MM")</f>
        <v>01</v>
      </c>
    </row>
    <row r="219" spans="8:15" x14ac:dyDescent="0.25">
      <c r="H219" s="305"/>
      <c r="O219" s="55" t="str">
        <f t="shared" si="8"/>
        <v>01</v>
      </c>
    </row>
    <row r="220" spans="8:15" x14ac:dyDescent="0.25">
      <c r="H220" s="305"/>
      <c r="O220" s="55" t="str">
        <f t="shared" si="8"/>
        <v>01</v>
      </c>
    </row>
    <row r="221" spans="8:15" x14ac:dyDescent="0.25">
      <c r="H221" s="305"/>
      <c r="O221" s="55" t="str">
        <f t="shared" si="8"/>
        <v>01</v>
      </c>
    </row>
    <row r="222" spans="8:15" x14ac:dyDescent="0.25">
      <c r="H222" s="305"/>
      <c r="O222" s="55" t="str">
        <f t="shared" si="8"/>
        <v>01</v>
      </c>
    </row>
    <row r="223" spans="8:15" x14ac:dyDescent="0.25">
      <c r="H223" s="305"/>
      <c r="O223" s="55" t="str">
        <f t="shared" si="8"/>
        <v>01</v>
      </c>
    </row>
    <row r="224" spans="8:15" x14ac:dyDescent="0.25">
      <c r="H224" s="305"/>
      <c r="O224" s="55" t="str">
        <f t="shared" si="8"/>
        <v>01</v>
      </c>
    </row>
    <row r="225" spans="8:15" x14ac:dyDescent="0.25">
      <c r="H225" s="305"/>
      <c r="O225" s="55" t="str">
        <f t="shared" si="8"/>
        <v>01</v>
      </c>
    </row>
    <row r="226" spans="8:15" x14ac:dyDescent="0.25">
      <c r="H226" s="305"/>
      <c r="O226" s="55" t="str">
        <f t="shared" si="8"/>
        <v>01</v>
      </c>
    </row>
    <row r="227" spans="8:15" x14ac:dyDescent="0.25">
      <c r="H227" s="305"/>
      <c r="O227" s="55" t="str">
        <f t="shared" si="8"/>
        <v>01</v>
      </c>
    </row>
    <row r="228" spans="8:15" x14ac:dyDescent="0.25">
      <c r="H228" s="305"/>
      <c r="O228" s="55" t="str">
        <f t="shared" si="8"/>
        <v>01</v>
      </c>
    </row>
    <row r="229" spans="8:15" x14ac:dyDescent="0.25">
      <c r="H229" s="305"/>
      <c r="O229" s="55" t="str">
        <f t="shared" si="8"/>
        <v>01</v>
      </c>
    </row>
    <row r="230" spans="8:15" x14ac:dyDescent="0.25">
      <c r="H230" s="305"/>
      <c r="O230" s="55" t="str">
        <f t="shared" si="8"/>
        <v>01</v>
      </c>
    </row>
    <row r="231" spans="8:15" x14ac:dyDescent="0.25">
      <c r="H231" s="305"/>
      <c r="O231" s="55" t="str">
        <f t="shared" si="8"/>
        <v>01</v>
      </c>
    </row>
    <row r="232" spans="8:15" x14ac:dyDescent="0.25">
      <c r="H232" s="305"/>
      <c r="O232" s="55" t="str">
        <f t="shared" si="8"/>
        <v>01</v>
      </c>
    </row>
    <row r="233" spans="8:15" x14ac:dyDescent="0.25">
      <c r="H233" s="305"/>
      <c r="O233" s="55" t="str">
        <f t="shared" si="8"/>
        <v>01</v>
      </c>
    </row>
    <row r="234" spans="8:15" x14ac:dyDescent="0.25">
      <c r="H234" s="305"/>
      <c r="O234" s="55" t="str">
        <f t="shared" si="8"/>
        <v>01</v>
      </c>
    </row>
    <row r="235" spans="8:15" x14ac:dyDescent="0.25">
      <c r="H235" s="305"/>
      <c r="O235" s="55" t="str">
        <f t="shared" si="8"/>
        <v>01</v>
      </c>
    </row>
    <row r="236" spans="8:15" x14ac:dyDescent="0.25">
      <c r="H236" s="305"/>
      <c r="O236" s="55" t="str">
        <f t="shared" si="8"/>
        <v>01</v>
      </c>
    </row>
    <row r="237" spans="8:15" x14ac:dyDescent="0.25">
      <c r="H237" s="305"/>
      <c r="O237" s="55" t="str">
        <f t="shared" si="8"/>
        <v>01</v>
      </c>
    </row>
    <row r="238" spans="8:15" x14ac:dyDescent="0.25">
      <c r="H238" s="305"/>
      <c r="O238" s="55" t="str">
        <f t="shared" si="8"/>
        <v>01</v>
      </c>
    </row>
    <row r="239" spans="8:15" x14ac:dyDescent="0.25">
      <c r="H239" s="305"/>
      <c r="O239" s="55" t="str">
        <f t="shared" si="8"/>
        <v>01</v>
      </c>
    </row>
    <row r="240" spans="8:15" x14ac:dyDescent="0.25">
      <c r="H240" s="305"/>
      <c r="O240" s="55" t="str">
        <f t="shared" si="8"/>
        <v>01</v>
      </c>
    </row>
    <row r="241" spans="8:15" x14ac:dyDescent="0.25">
      <c r="H241" s="305"/>
      <c r="O241" s="55" t="str">
        <f t="shared" si="8"/>
        <v>01</v>
      </c>
    </row>
    <row r="242" spans="8:15" x14ac:dyDescent="0.25">
      <c r="H242" s="305"/>
      <c r="O242" s="55" t="str">
        <f t="shared" si="8"/>
        <v>01</v>
      </c>
    </row>
    <row r="243" spans="8:15" x14ac:dyDescent="0.25">
      <c r="H243" s="305"/>
      <c r="O243" s="55" t="str">
        <f t="shared" si="8"/>
        <v>01</v>
      </c>
    </row>
    <row r="244" spans="8:15" x14ac:dyDescent="0.25">
      <c r="H244" s="305"/>
      <c r="O244" s="55" t="str">
        <f t="shared" si="8"/>
        <v>01</v>
      </c>
    </row>
    <row r="245" spans="8:15" x14ac:dyDescent="0.25">
      <c r="H245" s="305"/>
      <c r="O245" s="55" t="str">
        <f t="shared" si="8"/>
        <v>01</v>
      </c>
    </row>
    <row r="246" spans="8:15" x14ac:dyDescent="0.25">
      <c r="H246" s="305"/>
      <c r="O246" s="55" t="str">
        <f t="shared" si="8"/>
        <v>01</v>
      </c>
    </row>
    <row r="247" spans="8:15" x14ac:dyDescent="0.25">
      <c r="O247" s="55" t="str">
        <f t="shared" si="8"/>
        <v>01</v>
      </c>
    </row>
    <row r="248" spans="8:15" x14ac:dyDescent="0.25">
      <c r="O248" s="55" t="str">
        <f t="shared" si="8"/>
        <v>01</v>
      </c>
    </row>
    <row r="249" spans="8:15" x14ac:dyDescent="0.25">
      <c r="O249" s="55" t="str">
        <f t="shared" si="8"/>
        <v>01</v>
      </c>
    </row>
    <row r="250" spans="8:15" x14ac:dyDescent="0.25">
      <c r="O250" s="55" t="str">
        <f t="shared" si="8"/>
        <v>01</v>
      </c>
    </row>
    <row r="251" spans="8:15" x14ac:dyDescent="0.25">
      <c r="O251" s="55" t="str">
        <f t="shared" si="8"/>
        <v>01</v>
      </c>
    </row>
    <row r="252" spans="8:15" x14ac:dyDescent="0.25">
      <c r="O252" s="55" t="str">
        <f t="shared" si="8"/>
        <v>01</v>
      </c>
    </row>
    <row r="253" spans="8:15" x14ac:dyDescent="0.25">
      <c r="O253" s="55" t="str">
        <f t="shared" si="8"/>
        <v>01</v>
      </c>
    </row>
    <row r="254" spans="8:15" x14ac:dyDescent="0.25">
      <c r="O254" s="55" t="str">
        <f t="shared" si="8"/>
        <v>01</v>
      </c>
    </row>
    <row r="255" spans="8:15" x14ac:dyDescent="0.25">
      <c r="O255" s="55" t="str">
        <f t="shared" si="8"/>
        <v>01</v>
      </c>
    </row>
    <row r="256" spans="8:15" x14ac:dyDescent="0.25">
      <c r="O256" s="55" t="str">
        <f t="shared" si="8"/>
        <v>01</v>
      </c>
    </row>
    <row r="257" spans="15:15" x14ac:dyDescent="0.25">
      <c r="O257" s="55" t="str">
        <f t="shared" si="8"/>
        <v>01</v>
      </c>
    </row>
    <row r="258" spans="15:15" x14ac:dyDescent="0.25">
      <c r="O258" s="55" t="str">
        <f t="shared" si="8"/>
        <v>01</v>
      </c>
    </row>
    <row r="259" spans="15:15" x14ac:dyDescent="0.25">
      <c r="O259" s="55" t="str">
        <f t="shared" si="8"/>
        <v>01</v>
      </c>
    </row>
    <row r="260" spans="15:15" x14ac:dyDescent="0.25">
      <c r="O260" s="55" t="str">
        <f t="shared" si="8"/>
        <v>01</v>
      </c>
    </row>
    <row r="261" spans="15:15" x14ac:dyDescent="0.25">
      <c r="O261" s="55" t="str">
        <f t="shared" si="8"/>
        <v>01</v>
      </c>
    </row>
    <row r="262" spans="15:15" x14ac:dyDescent="0.25">
      <c r="O262" s="55" t="str">
        <f t="shared" si="8"/>
        <v>01</v>
      </c>
    </row>
    <row r="263" spans="15:15" x14ac:dyDescent="0.25">
      <c r="O263" s="55" t="str">
        <f t="shared" si="8"/>
        <v>01</v>
      </c>
    </row>
    <row r="264" spans="15:15" x14ac:dyDescent="0.25">
      <c r="O264" s="55" t="str">
        <f t="shared" si="8"/>
        <v>01</v>
      </c>
    </row>
    <row r="265" spans="15:15" x14ac:dyDescent="0.25">
      <c r="O265" s="55" t="str">
        <f t="shared" si="8"/>
        <v>01</v>
      </c>
    </row>
    <row r="266" spans="15:15" x14ac:dyDescent="0.25">
      <c r="O266" s="55" t="str">
        <f t="shared" si="8"/>
        <v>01</v>
      </c>
    </row>
    <row r="267" spans="15:15" x14ac:dyDescent="0.25">
      <c r="O267" s="55" t="str">
        <f t="shared" si="8"/>
        <v>01</v>
      </c>
    </row>
    <row r="268" spans="15:15" x14ac:dyDescent="0.25">
      <c r="O268" s="55" t="str">
        <f t="shared" si="8"/>
        <v>01</v>
      </c>
    </row>
    <row r="269" spans="15:15" x14ac:dyDescent="0.25">
      <c r="O269" s="55" t="str">
        <f t="shared" si="8"/>
        <v>01</v>
      </c>
    </row>
    <row r="270" spans="15:15" x14ac:dyDescent="0.25">
      <c r="O270" s="55" t="str">
        <f t="shared" si="8"/>
        <v>01</v>
      </c>
    </row>
    <row r="271" spans="15:15" x14ac:dyDescent="0.25">
      <c r="O271" s="55" t="str">
        <f t="shared" si="8"/>
        <v>01</v>
      </c>
    </row>
    <row r="272" spans="15:15" x14ac:dyDescent="0.25">
      <c r="O272" s="55" t="str">
        <f t="shared" si="8"/>
        <v>01</v>
      </c>
    </row>
    <row r="273" spans="15:15" x14ac:dyDescent="0.25">
      <c r="O273" s="55" t="str">
        <f t="shared" si="8"/>
        <v>01</v>
      </c>
    </row>
    <row r="274" spans="15:15" x14ac:dyDescent="0.25">
      <c r="O274" s="55" t="str">
        <f t="shared" si="8"/>
        <v>01</v>
      </c>
    </row>
    <row r="275" spans="15:15" x14ac:dyDescent="0.25">
      <c r="O275" s="55" t="str">
        <f t="shared" si="8"/>
        <v>01</v>
      </c>
    </row>
    <row r="276" spans="15:15" x14ac:dyDescent="0.25">
      <c r="O276" s="55" t="str">
        <f t="shared" si="8"/>
        <v>01</v>
      </c>
    </row>
    <row r="277" spans="15:15" x14ac:dyDescent="0.25">
      <c r="O277" s="55" t="str">
        <f t="shared" si="8"/>
        <v>01</v>
      </c>
    </row>
    <row r="278" spans="15:15" x14ac:dyDescent="0.25">
      <c r="O278" s="55" t="str">
        <f t="shared" si="8"/>
        <v>01</v>
      </c>
    </row>
    <row r="279" spans="15:15" x14ac:dyDescent="0.25">
      <c r="O279" s="55" t="str">
        <f t="shared" si="8"/>
        <v>01</v>
      </c>
    </row>
    <row r="280" spans="15:15" x14ac:dyDescent="0.25">
      <c r="O280" s="55" t="str">
        <f t="shared" si="8"/>
        <v>01</v>
      </c>
    </row>
    <row r="281" spans="15:15" x14ac:dyDescent="0.25">
      <c r="O281" s="55" t="str">
        <f t="shared" si="8"/>
        <v>01</v>
      </c>
    </row>
    <row r="282" spans="15:15" x14ac:dyDescent="0.25">
      <c r="O282" s="55" t="str">
        <f t="shared" ref="O282:O345" si="9">+TEXT(H282,"MM")</f>
        <v>01</v>
      </c>
    </row>
    <row r="283" spans="15:15" x14ac:dyDescent="0.25">
      <c r="O283" s="55" t="str">
        <f t="shared" si="9"/>
        <v>01</v>
      </c>
    </row>
    <row r="284" spans="15:15" x14ac:dyDescent="0.25">
      <c r="O284" s="55" t="str">
        <f t="shared" si="9"/>
        <v>01</v>
      </c>
    </row>
    <row r="285" spans="15:15" x14ac:dyDescent="0.25">
      <c r="O285" s="55" t="str">
        <f t="shared" si="9"/>
        <v>01</v>
      </c>
    </row>
    <row r="286" spans="15:15" x14ac:dyDescent="0.25">
      <c r="O286" s="55" t="str">
        <f t="shared" si="9"/>
        <v>01</v>
      </c>
    </row>
    <row r="287" spans="15:15" x14ac:dyDescent="0.25">
      <c r="O287" s="55" t="str">
        <f t="shared" si="9"/>
        <v>01</v>
      </c>
    </row>
    <row r="288" spans="15:15" x14ac:dyDescent="0.25">
      <c r="O288" s="55" t="str">
        <f t="shared" si="9"/>
        <v>01</v>
      </c>
    </row>
    <row r="289" spans="15:15" x14ac:dyDescent="0.25">
      <c r="O289" s="55" t="str">
        <f t="shared" si="9"/>
        <v>01</v>
      </c>
    </row>
    <row r="290" spans="15:15" x14ac:dyDescent="0.25">
      <c r="O290" s="55" t="str">
        <f t="shared" si="9"/>
        <v>01</v>
      </c>
    </row>
    <row r="291" spans="15:15" x14ac:dyDescent="0.25">
      <c r="O291" s="55" t="str">
        <f t="shared" si="9"/>
        <v>01</v>
      </c>
    </row>
    <row r="292" spans="15:15" x14ac:dyDescent="0.25">
      <c r="O292" s="55" t="str">
        <f t="shared" si="9"/>
        <v>01</v>
      </c>
    </row>
    <row r="293" spans="15:15" x14ac:dyDescent="0.25">
      <c r="O293" s="55" t="str">
        <f t="shared" si="9"/>
        <v>01</v>
      </c>
    </row>
    <row r="294" spans="15:15" x14ac:dyDescent="0.25">
      <c r="O294" s="55" t="str">
        <f t="shared" si="9"/>
        <v>01</v>
      </c>
    </row>
    <row r="295" spans="15:15" x14ac:dyDescent="0.25">
      <c r="O295" s="55" t="str">
        <f t="shared" si="9"/>
        <v>01</v>
      </c>
    </row>
    <row r="296" spans="15:15" x14ac:dyDescent="0.25">
      <c r="O296" s="55" t="str">
        <f t="shared" si="9"/>
        <v>01</v>
      </c>
    </row>
    <row r="297" spans="15:15" x14ac:dyDescent="0.25">
      <c r="O297" s="55" t="str">
        <f t="shared" si="9"/>
        <v>01</v>
      </c>
    </row>
    <row r="298" spans="15:15" x14ac:dyDescent="0.25">
      <c r="O298" s="55" t="str">
        <f t="shared" si="9"/>
        <v>01</v>
      </c>
    </row>
    <row r="299" spans="15:15" x14ac:dyDescent="0.25">
      <c r="O299" s="55" t="str">
        <f t="shared" si="9"/>
        <v>01</v>
      </c>
    </row>
    <row r="300" spans="15:15" x14ac:dyDescent="0.25">
      <c r="O300" s="55" t="str">
        <f t="shared" si="9"/>
        <v>01</v>
      </c>
    </row>
    <row r="301" spans="15:15" x14ac:dyDescent="0.25">
      <c r="O301" s="55" t="str">
        <f t="shared" si="9"/>
        <v>01</v>
      </c>
    </row>
    <row r="302" spans="15:15" x14ac:dyDescent="0.25">
      <c r="O302" s="55" t="str">
        <f t="shared" si="9"/>
        <v>01</v>
      </c>
    </row>
    <row r="303" spans="15:15" x14ac:dyDescent="0.25">
      <c r="O303" s="55" t="str">
        <f t="shared" si="9"/>
        <v>01</v>
      </c>
    </row>
    <row r="304" spans="15:15" x14ac:dyDescent="0.25">
      <c r="O304" s="55" t="str">
        <f t="shared" si="9"/>
        <v>01</v>
      </c>
    </row>
    <row r="305" spans="15:15" x14ac:dyDescent="0.25">
      <c r="O305" s="55" t="str">
        <f t="shared" si="9"/>
        <v>01</v>
      </c>
    </row>
    <row r="306" spans="15:15" x14ac:dyDescent="0.25">
      <c r="O306" s="55" t="str">
        <f t="shared" si="9"/>
        <v>01</v>
      </c>
    </row>
    <row r="307" spans="15:15" x14ac:dyDescent="0.25">
      <c r="O307" s="55" t="str">
        <f t="shared" si="9"/>
        <v>01</v>
      </c>
    </row>
    <row r="308" spans="15:15" x14ac:dyDescent="0.25">
      <c r="O308" s="55" t="str">
        <f t="shared" si="9"/>
        <v>01</v>
      </c>
    </row>
    <row r="309" spans="15:15" x14ac:dyDescent="0.25">
      <c r="O309" s="55" t="str">
        <f t="shared" si="9"/>
        <v>01</v>
      </c>
    </row>
    <row r="310" spans="15:15" x14ac:dyDescent="0.25">
      <c r="O310" s="55" t="str">
        <f t="shared" si="9"/>
        <v>01</v>
      </c>
    </row>
    <row r="311" spans="15:15" x14ac:dyDescent="0.25">
      <c r="O311" s="55" t="str">
        <f t="shared" si="9"/>
        <v>01</v>
      </c>
    </row>
    <row r="312" spans="15:15" x14ac:dyDescent="0.25">
      <c r="O312" s="55" t="str">
        <f t="shared" si="9"/>
        <v>01</v>
      </c>
    </row>
    <row r="313" spans="15:15" x14ac:dyDescent="0.25">
      <c r="O313" s="55" t="str">
        <f t="shared" si="9"/>
        <v>01</v>
      </c>
    </row>
    <row r="314" spans="15:15" x14ac:dyDescent="0.25">
      <c r="O314" s="55" t="str">
        <f t="shared" si="9"/>
        <v>01</v>
      </c>
    </row>
    <row r="315" spans="15:15" x14ac:dyDescent="0.25">
      <c r="O315" s="55" t="str">
        <f t="shared" si="9"/>
        <v>01</v>
      </c>
    </row>
    <row r="316" spans="15:15" x14ac:dyDescent="0.25">
      <c r="O316" s="55" t="str">
        <f t="shared" si="9"/>
        <v>01</v>
      </c>
    </row>
    <row r="317" spans="15:15" x14ac:dyDescent="0.25">
      <c r="O317" s="55" t="str">
        <f t="shared" si="9"/>
        <v>01</v>
      </c>
    </row>
    <row r="318" spans="15:15" x14ac:dyDescent="0.25">
      <c r="O318" s="55" t="str">
        <f t="shared" si="9"/>
        <v>01</v>
      </c>
    </row>
    <row r="319" spans="15:15" x14ac:dyDescent="0.25">
      <c r="O319" s="55" t="str">
        <f t="shared" si="9"/>
        <v>01</v>
      </c>
    </row>
    <row r="320" spans="15:15" x14ac:dyDescent="0.25">
      <c r="O320" s="55" t="str">
        <f t="shared" si="9"/>
        <v>01</v>
      </c>
    </row>
    <row r="321" spans="15:15" x14ac:dyDescent="0.25">
      <c r="O321" s="55" t="str">
        <f t="shared" si="9"/>
        <v>01</v>
      </c>
    </row>
    <row r="322" spans="15:15" x14ac:dyDescent="0.25">
      <c r="O322" s="55" t="str">
        <f t="shared" si="9"/>
        <v>01</v>
      </c>
    </row>
    <row r="323" spans="15:15" x14ac:dyDescent="0.25">
      <c r="O323" s="55" t="str">
        <f t="shared" si="9"/>
        <v>01</v>
      </c>
    </row>
    <row r="324" spans="15:15" x14ac:dyDescent="0.25">
      <c r="O324" s="55" t="str">
        <f t="shared" si="9"/>
        <v>01</v>
      </c>
    </row>
    <row r="325" spans="15:15" x14ac:dyDescent="0.25">
      <c r="O325" s="55" t="str">
        <f t="shared" si="9"/>
        <v>01</v>
      </c>
    </row>
    <row r="326" spans="15:15" x14ac:dyDescent="0.25">
      <c r="O326" s="55" t="str">
        <f t="shared" si="9"/>
        <v>01</v>
      </c>
    </row>
    <row r="327" spans="15:15" x14ac:dyDescent="0.25">
      <c r="O327" s="55" t="str">
        <f t="shared" si="9"/>
        <v>01</v>
      </c>
    </row>
    <row r="328" spans="15:15" x14ac:dyDescent="0.25">
      <c r="O328" s="55" t="str">
        <f t="shared" si="9"/>
        <v>01</v>
      </c>
    </row>
    <row r="329" spans="15:15" x14ac:dyDescent="0.25">
      <c r="O329" s="55" t="str">
        <f t="shared" si="9"/>
        <v>01</v>
      </c>
    </row>
    <row r="330" spans="15:15" x14ac:dyDescent="0.25">
      <c r="O330" s="55" t="str">
        <f t="shared" si="9"/>
        <v>01</v>
      </c>
    </row>
    <row r="331" spans="15:15" x14ac:dyDescent="0.25">
      <c r="O331" s="55" t="str">
        <f t="shared" si="9"/>
        <v>01</v>
      </c>
    </row>
    <row r="332" spans="15:15" x14ac:dyDescent="0.25">
      <c r="O332" s="55" t="str">
        <f t="shared" si="9"/>
        <v>01</v>
      </c>
    </row>
    <row r="333" spans="15:15" x14ac:dyDescent="0.25">
      <c r="O333" s="55" t="str">
        <f t="shared" si="9"/>
        <v>01</v>
      </c>
    </row>
    <row r="334" spans="15:15" x14ac:dyDescent="0.25">
      <c r="O334" s="55" t="str">
        <f t="shared" si="9"/>
        <v>01</v>
      </c>
    </row>
    <row r="335" spans="15:15" x14ac:dyDescent="0.25">
      <c r="O335" s="55" t="str">
        <f t="shared" si="9"/>
        <v>01</v>
      </c>
    </row>
    <row r="336" spans="15:15" x14ac:dyDescent="0.25">
      <c r="O336" s="55" t="str">
        <f t="shared" si="9"/>
        <v>01</v>
      </c>
    </row>
    <row r="337" spans="15:15" x14ac:dyDescent="0.25">
      <c r="O337" s="55" t="str">
        <f t="shared" si="9"/>
        <v>01</v>
      </c>
    </row>
    <row r="338" spans="15:15" x14ac:dyDescent="0.25">
      <c r="O338" s="55" t="str">
        <f t="shared" si="9"/>
        <v>01</v>
      </c>
    </row>
    <row r="339" spans="15:15" x14ac:dyDescent="0.25">
      <c r="O339" s="55" t="str">
        <f t="shared" si="9"/>
        <v>01</v>
      </c>
    </row>
    <row r="340" spans="15:15" x14ac:dyDescent="0.25">
      <c r="O340" s="55" t="str">
        <f t="shared" si="9"/>
        <v>01</v>
      </c>
    </row>
    <row r="341" spans="15:15" x14ac:dyDescent="0.25">
      <c r="O341" s="55" t="str">
        <f t="shared" si="9"/>
        <v>01</v>
      </c>
    </row>
    <row r="342" spans="15:15" x14ac:dyDescent="0.25">
      <c r="O342" s="55" t="str">
        <f t="shared" si="9"/>
        <v>01</v>
      </c>
    </row>
    <row r="343" spans="15:15" x14ac:dyDescent="0.25">
      <c r="O343" s="55" t="str">
        <f t="shared" si="9"/>
        <v>01</v>
      </c>
    </row>
    <row r="344" spans="15:15" x14ac:dyDescent="0.25">
      <c r="O344" s="55" t="str">
        <f t="shared" si="9"/>
        <v>01</v>
      </c>
    </row>
    <row r="345" spans="15:15" x14ac:dyDescent="0.25">
      <c r="O345" s="55" t="str">
        <f t="shared" si="9"/>
        <v>01</v>
      </c>
    </row>
    <row r="346" spans="15:15" x14ac:dyDescent="0.25">
      <c r="O346" s="55" t="str">
        <f t="shared" ref="O346:O409" si="10">+TEXT(H346,"MM")</f>
        <v>01</v>
      </c>
    </row>
    <row r="347" spans="15:15" x14ac:dyDescent="0.25">
      <c r="O347" s="55" t="str">
        <f t="shared" si="10"/>
        <v>01</v>
      </c>
    </row>
    <row r="348" spans="15:15" x14ac:dyDescent="0.25">
      <c r="O348" s="55" t="str">
        <f t="shared" si="10"/>
        <v>01</v>
      </c>
    </row>
    <row r="349" spans="15:15" x14ac:dyDescent="0.25">
      <c r="O349" s="55" t="str">
        <f t="shared" si="10"/>
        <v>01</v>
      </c>
    </row>
    <row r="350" spans="15:15" x14ac:dyDescent="0.25">
      <c r="O350" s="55" t="str">
        <f t="shared" si="10"/>
        <v>01</v>
      </c>
    </row>
    <row r="351" spans="15:15" x14ac:dyDescent="0.25">
      <c r="O351" s="55" t="str">
        <f t="shared" si="10"/>
        <v>01</v>
      </c>
    </row>
    <row r="352" spans="15:15" x14ac:dyDescent="0.25">
      <c r="O352" s="55" t="str">
        <f t="shared" si="10"/>
        <v>01</v>
      </c>
    </row>
    <row r="353" spans="15:15" x14ac:dyDescent="0.25">
      <c r="O353" s="55" t="str">
        <f t="shared" si="10"/>
        <v>01</v>
      </c>
    </row>
    <row r="354" spans="15:15" x14ac:dyDescent="0.25">
      <c r="O354" s="55" t="str">
        <f t="shared" si="10"/>
        <v>01</v>
      </c>
    </row>
    <row r="355" spans="15:15" x14ac:dyDescent="0.25">
      <c r="O355" s="55" t="str">
        <f t="shared" si="10"/>
        <v>01</v>
      </c>
    </row>
    <row r="356" spans="15:15" x14ac:dyDescent="0.25">
      <c r="O356" s="55" t="str">
        <f t="shared" si="10"/>
        <v>01</v>
      </c>
    </row>
    <row r="357" spans="15:15" x14ac:dyDescent="0.25">
      <c r="O357" s="55" t="str">
        <f t="shared" si="10"/>
        <v>01</v>
      </c>
    </row>
    <row r="358" spans="15:15" x14ac:dyDescent="0.25">
      <c r="O358" s="55" t="str">
        <f t="shared" si="10"/>
        <v>01</v>
      </c>
    </row>
    <row r="359" spans="15:15" x14ac:dyDescent="0.25">
      <c r="O359" s="55" t="str">
        <f t="shared" si="10"/>
        <v>01</v>
      </c>
    </row>
    <row r="360" spans="15:15" x14ac:dyDescent="0.25">
      <c r="O360" s="55" t="str">
        <f t="shared" si="10"/>
        <v>01</v>
      </c>
    </row>
    <row r="361" spans="15:15" x14ac:dyDescent="0.25">
      <c r="O361" s="55" t="str">
        <f t="shared" si="10"/>
        <v>01</v>
      </c>
    </row>
    <row r="362" spans="15:15" x14ac:dyDescent="0.25">
      <c r="O362" s="55" t="str">
        <f t="shared" si="10"/>
        <v>01</v>
      </c>
    </row>
    <row r="363" spans="15:15" x14ac:dyDescent="0.25">
      <c r="O363" s="55" t="str">
        <f t="shared" si="10"/>
        <v>01</v>
      </c>
    </row>
    <row r="364" spans="15:15" x14ac:dyDescent="0.25">
      <c r="O364" s="55" t="str">
        <f t="shared" si="10"/>
        <v>01</v>
      </c>
    </row>
    <row r="365" spans="15:15" x14ac:dyDescent="0.25">
      <c r="O365" s="55" t="str">
        <f t="shared" si="10"/>
        <v>01</v>
      </c>
    </row>
    <row r="366" spans="15:15" x14ac:dyDescent="0.25">
      <c r="O366" s="55" t="str">
        <f t="shared" si="10"/>
        <v>01</v>
      </c>
    </row>
    <row r="367" spans="15:15" x14ac:dyDescent="0.25">
      <c r="O367" s="55" t="str">
        <f t="shared" si="10"/>
        <v>01</v>
      </c>
    </row>
    <row r="368" spans="15:15" x14ac:dyDescent="0.25">
      <c r="O368" s="55" t="str">
        <f t="shared" si="10"/>
        <v>01</v>
      </c>
    </row>
    <row r="369" spans="15:15" x14ac:dyDescent="0.25">
      <c r="O369" s="55" t="str">
        <f t="shared" si="10"/>
        <v>01</v>
      </c>
    </row>
    <row r="370" spans="15:15" x14ac:dyDescent="0.25">
      <c r="O370" s="55" t="str">
        <f t="shared" si="10"/>
        <v>01</v>
      </c>
    </row>
    <row r="371" spans="15:15" x14ac:dyDescent="0.25">
      <c r="O371" s="55" t="str">
        <f t="shared" si="10"/>
        <v>01</v>
      </c>
    </row>
    <row r="372" spans="15:15" x14ac:dyDescent="0.25">
      <c r="O372" s="55" t="str">
        <f t="shared" si="10"/>
        <v>01</v>
      </c>
    </row>
    <row r="373" spans="15:15" x14ac:dyDescent="0.25">
      <c r="O373" s="55" t="str">
        <f t="shared" si="10"/>
        <v>01</v>
      </c>
    </row>
    <row r="374" spans="15:15" x14ac:dyDescent="0.25">
      <c r="O374" s="55" t="str">
        <f t="shared" si="10"/>
        <v>01</v>
      </c>
    </row>
    <row r="375" spans="15:15" x14ac:dyDescent="0.25">
      <c r="O375" s="55" t="str">
        <f t="shared" si="10"/>
        <v>01</v>
      </c>
    </row>
    <row r="376" spans="15:15" x14ac:dyDescent="0.25">
      <c r="O376" s="55" t="str">
        <f t="shared" si="10"/>
        <v>01</v>
      </c>
    </row>
    <row r="377" spans="15:15" x14ac:dyDescent="0.25">
      <c r="O377" s="55" t="str">
        <f t="shared" si="10"/>
        <v>01</v>
      </c>
    </row>
    <row r="378" spans="15:15" x14ac:dyDescent="0.25">
      <c r="O378" s="55" t="str">
        <f t="shared" si="10"/>
        <v>01</v>
      </c>
    </row>
    <row r="379" spans="15:15" x14ac:dyDescent="0.25">
      <c r="O379" s="55" t="str">
        <f t="shared" si="10"/>
        <v>01</v>
      </c>
    </row>
    <row r="380" spans="15:15" x14ac:dyDescent="0.25">
      <c r="O380" s="55" t="str">
        <f t="shared" si="10"/>
        <v>01</v>
      </c>
    </row>
    <row r="381" spans="15:15" x14ac:dyDescent="0.25">
      <c r="O381" s="55" t="str">
        <f t="shared" si="10"/>
        <v>01</v>
      </c>
    </row>
    <row r="382" spans="15:15" x14ac:dyDescent="0.25">
      <c r="O382" s="55" t="str">
        <f t="shared" si="10"/>
        <v>01</v>
      </c>
    </row>
    <row r="383" spans="15:15" x14ac:dyDescent="0.25">
      <c r="O383" s="55" t="str">
        <f t="shared" si="10"/>
        <v>01</v>
      </c>
    </row>
    <row r="384" spans="15:15" x14ac:dyDescent="0.25">
      <c r="O384" s="55" t="str">
        <f t="shared" si="10"/>
        <v>01</v>
      </c>
    </row>
    <row r="385" spans="15:15" x14ac:dyDescent="0.25">
      <c r="O385" s="55" t="str">
        <f t="shared" si="10"/>
        <v>01</v>
      </c>
    </row>
    <row r="386" spans="15:15" x14ac:dyDescent="0.25">
      <c r="O386" s="55" t="str">
        <f t="shared" si="10"/>
        <v>01</v>
      </c>
    </row>
    <row r="387" spans="15:15" x14ac:dyDescent="0.25">
      <c r="O387" s="55" t="str">
        <f t="shared" si="10"/>
        <v>01</v>
      </c>
    </row>
    <row r="388" spans="15:15" x14ac:dyDescent="0.25">
      <c r="O388" s="55" t="str">
        <f t="shared" si="10"/>
        <v>01</v>
      </c>
    </row>
    <row r="389" spans="15:15" x14ac:dyDescent="0.25">
      <c r="O389" s="55" t="str">
        <f t="shared" si="10"/>
        <v>01</v>
      </c>
    </row>
    <row r="390" spans="15:15" x14ac:dyDescent="0.25">
      <c r="O390" s="55" t="str">
        <f t="shared" si="10"/>
        <v>01</v>
      </c>
    </row>
    <row r="391" spans="15:15" x14ac:dyDescent="0.25">
      <c r="O391" s="55" t="str">
        <f t="shared" si="10"/>
        <v>01</v>
      </c>
    </row>
    <row r="392" spans="15:15" x14ac:dyDescent="0.25">
      <c r="O392" s="55" t="str">
        <f t="shared" si="10"/>
        <v>01</v>
      </c>
    </row>
    <row r="393" spans="15:15" x14ac:dyDescent="0.25">
      <c r="O393" s="55" t="str">
        <f t="shared" si="10"/>
        <v>01</v>
      </c>
    </row>
    <row r="394" spans="15:15" x14ac:dyDescent="0.25">
      <c r="O394" s="55" t="str">
        <f t="shared" si="10"/>
        <v>01</v>
      </c>
    </row>
    <row r="395" spans="15:15" x14ac:dyDescent="0.25">
      <c r="O395" s="55" t="str">
        <f t="shared" si="10"/>
        <v>01</v>
      </c>
    </row>
    <row r="396" spans="15:15" x14ac:dyDescent="0.25">
      <c r="O396" s="55" t="str">
        <f t="shared" si="10"/>
        <v>01</v>
      </c>
    </row>
    <row r="397" spans="15:15" x14ac:dyDescent="0.25">
      <c r="O397" s="55" t="str">
        <f t="shared" si="10"/>
        <v>01</v>
      </c>
    </row>
    <row r="398" spans="15:15" x14ac:dyDescent="0.25">
      <c r="O398" s="55" t="str">
        <f t="shared" si="10"/>
        <v>01</v>
      </c>
    </row>
    <row r="399" spans="15:15" x14ac:dyDescent="0.25">
      <c r="O399" s="55" t="str">
        <f t="shared" si="10"/>
        <v>01</v>
      </c>
    </row>
    <row r="400" spans="15:15" x14ac:dyDescent="0.25">
      <c r="O400" s="55" t="str">
        <f t="shared" si="10"/>
        <v>01</v>
      </c>
    </row>
    <row r="401" spans="15:15" x14ac:dyDescent="0.25">
      <c r="O401" s="55" t="str">
        <f t="shared" si="10"/>
        <v>01</v>
      </c>
    </row>
    <row r="402" spans="15:15" x14ac:dyDescent="0.25">
      <c r="O402" s="55" t="str">
        <f t="shared" si="10"/>
        <v>01</v>
      </c>
    </row>
    <row r="403" spans="15:15" x14ac:dyDescent="0.25">
      <c r="O403" s="55" t="str">
        <f t="shared" si="10"/>
        <v>01</v>
      </c>
    </row>
    <row r="404" spans="15:15" x14ac:dyDescent="0.25">
      <c r="O404" s="55" t="str">
        <f t="shared" si="10"/>
        <v>01</v>
      </c>
    </row>
    <row r="405" spans="15:15" x14ac:dyDescent="0.25">
      <c r="O405" s="55" t="str">
        <f t="shared" si="10"/>
        <v>01</v>
      </c>
    </row>
    <row r="406" spans="15:15" x14ac:dyDescent="0.25">
      <c r="O406" s="55" t="str">
        <f t="shared" si="10"/>
        <v>01</v>
      </c>
    </row>
    <row r="407" spans="15:15" x14ac:dyDescent="0.25">
      <c r="O407" s="55" t="str">
        <f t="shared" si="10"/>
        <v>01</v>
      </c>
    </row>
    <row r="408" spans="15:15" x14ac:dyDescent="0.25">
      <c r="O408" s="55" t="str">
        <f t="shared" si="10"/>
        <v>01</v>
      </c>
    </row>
    <row r="409" spans="15:15" x14ac:dyDescent="0.25">
      <c r="O409" s="55" t="str">
        <f t="shared" si="10"/>
        <v>01</v>
      </c>
    </row>
    <row r="410" spans="15:15" x14ac:dyDescent="0.25">
      <c r="O410" s="55" t="str">
        <f t="shared" ref="O410:O473" si="11">+TEXT(H410,"MM")</f>
        <v>01</v>
      </c>
    </row>
    <row r="411" spans="15:15" x14ac:dyDescent="0.25">
      <c r="O411" s="55" t="str">
        <f t="shared" si="11"/>
        <v>01</v>
      </c>
    </row>
    <row r="412" spans="15:15" x14ac:dyDescent="0.25">
      <c r="O412" s="55" t="str">
        <f t="shared" si="11"/>
        <v>01</v>
      </c>
    </row>
    <row r="413" spans="15:15" x14ac:dyDescent="0.25">
      <c r="O413" s="55" t="str">
        <f t="shared" si="11"/>
        <v>01</v>
      </c>
    </row>
    <row r="414" spans="15:15" x14ac:dyDescent="0.25">
      <c r="O414" s="55" t="str">
        <f t="shared" si="11"/>
        <v>01</v>
      </c>
    </row>
    <row r="415" spans="15:15" x14ac:dyDescent="0.25">
      <c r="O415" s="55" t="str">
        <f t="shared" si="11"/>
        <v>01</v>
      </c>
    </row>
    <row r="416" spans="15:15" x14ac:dyDescent="0.25">
      <c r="O416" s="55" t="str">
        <f t="shared" si="11"/>
        <v>01</v>
      </c>
    </row>
    <row r="417" spans="15:15" x14ac:dyDescent="0.25">
      <c r="O417" s="55" t="str">
        <f t="shared" si="11"/>
        <v>01</v>
      </c>
    </row>
    <row r="418" spans="15:15" x14ac:dyDescent="0.25">
      <c r="O418" s="55" t="str">
        <f t="shared" si="11"/>
        <v>01</v>
      </c>
    </row>
    <row r="419" spans="15:15" x14ac:dyDescent="0.25">
      <c r="O419" s="55" t="str">
        <f t="shared" si="11"/>
        <v>01</v>
      </c>
    </row>
    <row r="420" spans="15:15" x14ac:dyDescent="0.25">
      <c r="O420" s="55" t="str">
        <f t="shared" si="11"/>
        <v>01</v>
      </c>
    </row>
    <row r="421" spans="15:15" x14ac:dyDescent="0.25">
      <c r="O421" s="55" t="str">
        <f t="shared" si="11"/>
        <v>01</v>
      </c>
    </row>
    <row r="422" spans="15:15" x14ac:dyDescent="0.25">
      <c r="O422" s="55" t="str">
        <f t="shared" si="11"/>
        <v>01</v>
      </c>
    </row>
    <row r="423" spans="15:15" x14ac:dyDescent="0.25">
      <c r="O423" s="55" t="str">
        <f t="shared" si="11"/>
        <v>01</v>
      </c>
    </row>
    <row r="424" spans="15:15" x14ac:dyDescent="0.25">
      <c r="O424" s="55" t="str">
        <f t="shared" si="11"/>
        <v>01</v>
      </c>
    </row>
    <row r="425" spans="15:15" x14ac:dyDescent="0.25">
      <c r="O425" s="55" t="str">
        <f t="shared" si="11"/>
        <v>01</v>
      </c>
    </row>
    <row r="426" spans="15:15" x14ac:dyDescent="0.25">
      <c r="O426" s="55" t="str">
        <f t="shared" si="11"/>
        <v>01</v>
      </c>
    </row>
    <row r="427" spans="15:15" x14ac:dyDescent="0.25">
      <c r="O427" s="55" t="str">
        <f t="shared" si="11"/>
        <v>01</v>
      </c>
    </row>
    <row r="428" spans="15:15" x14ac:dyDescent="0.25">
      <c r="O428" s="55" t="str">
        <f t="shared" si="11"/>
        <v>01</v>
      </c>
    </row>
    <row r="429" spans="15:15" x14ac:dyDescent="0.25">
      <c r="O429" s="55" t="str">
        <f t="shared" si="11"/>
        <v>01</v>
      </c>
    </row>
    <row r="430" spans="15:15" x14ac:dyDescent="0.25">
      <c r="O430" s="55" t="str">
        <f t="shared" si="11"/>
        <v>01</v>
      </c>
    </row>
    <row r="431" spans="15:15" x14ac:dyDescent="0.25">
      <c r="O431" s="55" t="str">
        <f t="shared" si="11"/>
        <v>01</v>
      </c>
    </row>
    <row r="432" spans="15:15" x14ac:dyDescent="0.25">
      <c r="O432" s="55" t="str">
        <f t="shared" si="11"/>
        <v>01</v>
      </c>
    </row>
    <row r="433" spans="15:15" x14ac:dyDescent="0.25">
      <c r="O433" s="55" t="str">
        <f t="shared" si="11"/>
        <v>01</v>
      </c>
    </row>
    <row r="434" spans="15:15" x14ac:dyDescent="0.25">
      <c r="O434" s="55" t="str">
        <f t="shared" si="11"/>
        <v>01</v>
      </c>
    </row>
    <row r="435" spans="15:15" x14ac:dyDescent="0.25">
      <c r="O435" s="55" t="str">
        <f t="shared" si="11"/>
        <v>01</v>
      </c>
    </row>
    <row r="436" spans="15:15" x14ac:dyDescent="0.25">
      <c r="O436" s="55" t="str">
        <f t="shared" si="11"/>
        <v>01</v>
      </c>
    </row>
    <row r="437" spans="15:15" x14ac:dyDescent="0.25">
      <c r="O437" s="55" t="str">
        <f t="shared" si="11"/>
        <v>01</v>
      </c>
    </row>
    <row r="438" spans="15:15" x14ac:dyDescent="0.25">
      <c r="O438" s="55" t="str">
        <f t="shared" si="11"/>
        <v>01</v>
      </c>
    </row>
    <row r="439" spans="15:15" x14ac:dyDescent="0.25">
      <c r="O439" s="55" t="str">
        <f t="shared" si="11"/>
        <v>01</v>
      </c>
    </row>
    <row r="440" spans="15:15" x14ac:dyDescent="0.25">
      <c r="O440" s="55" t="str">
        <f t="shared" si="11"/>
        <v>01</v>
      </c>
    </row>
    <row r="441" spans="15:15" x14ac:dyDescent="0.25">
      <c r="O441" s="55" t="str">
        <f t="shared" si="11"/>
        <v>01</v>
      </c>
    </row>
    <row r="442" spans="15:15" x14ac:dyDescent="0.25">
      <c r="O442" s="55" t="str">
        <f t="shared" si="11"/>
        <v>01</v>
      </c>
    </row>
    <row r="443" spans="15:15" x14ac:dyDescent="0.25">
      <c r="O443" s="55" t="str">
        <f t="shared" si="11"/>
        <v>01</v>
      </c>
    </row>
    <row r="444" spans="15:15" x14ac:dyDescent="0.25">
      <c r="O444" s="55" t="str">
        <f t="shared" si="11"/>
        <v>01</v>
      </c>
    </row>
    <row r="445" spans="15:15" x14ac:dyDescent="0.25">
      <c r="O445" s="55" t="str">
        <f t="shared" si="11"/>
        <v>01</v>
      </c>
    </row>
    <row r="446" spans="15:15" x14ac:dyDescent="0.25">
      <c r="O446" s="55" t="str">
        <f t="shared" si="11"/>
        <v>01</v>
      </c>
    </row>
    <row r="447" spans="15:15" x14ac:dyDescent="0.25">
      <c r="O447" s="55" t="str">
        <f t="shared" si="11"/>
        <v>01</v>
      </c>
    </row>
    <row r="448" spans="15:15" x14ac:dyDescent="0.25">
      <c r="O448" s="55" t="str">
        <f t="shared" si="11"/>
        <v>01</v>
      </c>
    </row>
    <row r="449" spans="15:15" x14ac:dyDescent="0.25">
      <c r="O449" s="55" t="str">
        <f t="shared" si="11"/>
        <v>01</v>
      </c>
    </row>
    <row r="450" spans="15:15" x14ac:dyDescent="0.25">
      <c r="O450" s="55" t="str">
        <f t="shared" si="11"/>
        <v>01</v>
      </c>
    </row>
    <row r="451" spans="15:15" x14ac:dyDescent="0.25">
      <c r="O451" s="55" t="str">
        <f t="shared" si="11"/>
        <v>01</v>
      </c>
    </row>
    <row r="452" spans="15:15" x14ac:dyDescent="0.25">
      <c r="O452" s="55" t="str">
        <f t="shared" si="11"/>
        <v>01</v>
      </c>
    </row>
    <row r="453" spans="15:15" x14ac:dyDescent="0.25">
      <c r="O453" s="55" t="str">
        <f t="shared" si="11"/>
        <v>01</v>
      </c>
    </row>
    <row r="454" spans="15:15" x14ac:dyDescent="0.25">
      <c r="O454" s="55" t="str">
        <f t="shared" si="11"/>
        <v>01</v>
      </c>
    </row>
    <row r="455" spans="15:15" x14ac:dyDescent="0.25">
      <c r="O455" s="55" t="str">
        <f t="shared" si="11"/>
        <v>01</v>
      </c>
    </row>
    <row r="456" spans="15:15" x14ac:dyDescent="0.25">
      <c r="O456" s="55" t="str">
        <f t="shared" si="11"/>
        <v>01</v>
      </c>
    </row>
    <row r="457" spans="15:15" x14ac:dyDescent="0.25">
      <c r="O457" s="55" t="str">
        <f t="shared" si="11"/>
        <v>01</v>
      </c>
    </row>
    <row r="458" spans="15:15" x14ac:dyDescent="0.25">
      <c r="O458" s="55" t="str">
        <f t="shared" si="11"/>
        <v>01</v>
      </c>
    </row>
    <row r="459" spans="15:15" x14ac:dyDescent="0.25">
      <c r="O459" s="55" t="str">
        <f t="shared" si="11"/>
        <v>01</v>
      </c>
    </row>
    <row r="460" spans="15:15" x14ac:dyDescent="0.25">
      <c r="O460" s="55" t="str">
        <f t="shared" si="11"/>
        <v>01</v>
      </c>
    </row>
    <row r="461" spans="15:15" x14ac:dyDescent="0.25">
      <c r="O461" s="55" t="str">
        <f t="shared" si="11"/>
        <v>01</v>
      </c>
    </row>
    <row r="462" spans="15:15" x14ac:dyDescent="0.25">
      <c r="O462" s="55" t="str">
        <f t="shared" si="11"/>
        <v>01</v>
      </c>
    </row>
    <row r="463" spans="15:15" x14ac:dyDescent="0.25">
      <c r="O463" s="55" t="str">
        <f t="shared" si="11"/>
        <v>01</v>
      </c>
    </row>
    <row r="464" spans="15:15" x14ac:dyDescent="0.25">
      <c r="O464" s="55" t="str">
        <f t="shared" si="11"/>
        <v>01</v>
      </c>
    </row>
    <row r="465" spans="15:15" x14ac:dyDescent="0.25">
      <c r="O465" s="55" t="str">
        <f t="shared" si="11"/>
        <v>01</v>
      </c>
    </row>
    <row r="466" spans="15:15" x14ac:dyDescent="0.25">
      <c r="O466" s="55" t="str">
        <f t="shared" si="11"/>
        <v>01</v>
      </c>
    </row>
    <row r="467" spans="15:15" x14ac:dyDescent="0.25">
      <c r="O467" s="55" t="str">
        <f t="shared" si="11"/>
        <v>01</v>
      </c>
    </row>
    <row r="468" spans="15:15" x14ac:dyDescent="0.25">
      <c r="O468" s="55" t="str">
        <f t="shared" si="11"/>
        <v>01</v>
      </c>
    </row>
    <row r="469" spans="15:15" x14ac:dyDescent="0.25">
      <c r="O469" s="55" t="str">
        <f t="shared" si="11"/>
        <v>01</v>
      </c>
    </row>
    <row r="470" spans="15:15" x14ac:dyDescent="0.25">
      <c r="O470" s="55" t="str">
        <f t="shared" si="11"/>
        <v>01</v>
      </c>
    </row>
    <row r="471" spans="15:15" x14ac:dyDescent="0.25">
      <c r="O471" s="55" t="str">
        <f t="shared" si="11"/>
        <v>01</v>
      </c>
    </row>
    <row r="472" spans="15:15" x14ac:dyDescent="0.25">
      <c r="O472" s="55" t="str">
        <f t="shared" si="11"/>
        <v>01</v>
      </c>
    </row>
    <row r="473" spans="15:15" x14ac:dyDescent="0.25">
      <c r="O473" s="55" t="str">
        <f t="shared" si="11"/>
        <v>01</v>
      </c>
    </row>
    <row r="474" spans="15:15" x14ac:dyDescent="0.25">
      <c r="O474" s="55" t="str">
        <f t="shared" ref="O474:O537" si="12">+TEXT(H474,"MM")</f>
        <v>01</v>
      </c>
    </row>
    <row r="475" spans="15:15" x14ac:dyDescent="0.25">
      <c r="O475" s="55" t="str">
        <f t="shared" si="12"/>
        <v>01</v>
      </c>
    </row>
    <row r="476" spans="15:15" x14ac:dyDescent="0.25">
      <c r="O476" s="55" t="str">
        <f t="shared" si="12"/>
        <v>01</v>
      </c>
    </row>
    <row r="477" spans="15:15" x14ac:dyDescent="0.25">
      <c r="O477" s="55" t="str">
        <f t="shared" si="12"/>
        <v>01</v>
      </c>
    </row>
    <row r="478" spans="15:15" x14ac:dyDescent="0.25">
      <c r="O478" s="55" t="str">
        <f t="shared" si="12"/>
        <v>01</v>
      </c>
    </row>
    <row r="479" spans="15:15" x14ac:dyDescent="0.25">
      <c r="O479" s="55" t="str">
        <f t="shared" si="12"/>
        <v>01</v>
      </c>
    </row>
    <row r="480" spans="15:15" x14ac:dyDescent="0.25">
      <c r="O480" s="55" t="str">
        <f t="shared" si="12"/>
        <v>01</v>
      </c>
    </row>
    <row r="481" spans="15:15" x14ac:dyDescent="0.25">
      <c r="O481" s="55" t="str">
        <f t="shared" si="12"/>
        <v>01</v>
      </c>
    </row>
    <row r="482" spans="15:15" x14ac:dyDescent="0.25">
      <c r="O482" s="55" t="str">
        <f t="shared" si="12"/>
        <v>01</v>
      </c>
    </row>
    <row r="483" spans="15:15" x14ac:dyDescent="0.25">
      <c r="O483" s="55" t="str">
        <f t="shared" si="12"/>
        <v>01</v>
      </c>
    </row>
    <row r="484" spans="15:15" x14ac:dyDescent="0.25">
      <c r="O484" s="55" t="str">
        <f t="shared" si="12"/>
        <v>01</v>
      </c>
    </row>
    <row r="485" spans="15:15" x14ac:dyDescent="0.25">
      <c r="O485" s="55" t="str">
        <f t="shared" si="12"/>
        <v>01</v>
      </c>
    </row>
    <row r="486" spans="15:15" x14ac:dyDescent="0.25">
      <c r="O486" s="55" t="str">
        <f t="shared" si="12"/>
        <v>01</v>
      </c>
    </row>
    <row r="487" spans="15:15" x14ac:dyDescent="0.25">
      <c r="O487" s="55" t="str">
        <f t="shared" si="12"/>
        <v>01</v>
      </c>
    </row>
    <row r="488" spans="15:15" x14ac:dyDescent="0.25">
      <c r="O488" s="55" t="str">
        <f t="shared" si="12"/>
        <v>01</v>
      </c>
    </row>
    <row r="489" spans="15:15" x14ac:dyDescent="0.25">
      <c r="O489" s="55" t="str">
        <f t="shared" si="12"/>
        <v>01</v>
      </c>
    </row>
    <row r="490" spans="15:15" x14ac:dyDescent="0.25">
      <c r="O490" s="55" t="str">
        <f t="shared" si="12"/>
        <v>01</v>
      </c>
    </row>
    <row r="491" spans="15:15" x14ac:dyDescent="0.25">
      <c r="O491" s="55" t="str">
        <f t="shared" si="12"/>
        <v>01</v>
      </c>
    </row>
    <row r="492" spans="15:15" x14ac:dyDescent="0.25">
      <c r="O492" s="55" t="str">
        <f t="shared" si="12"/>
        <v>01</v>
      </c>
    </row>
    <row r="493" spans="15:15" x14ac:dyDescent="0.25">
      <c r="O493" s="55" t="str">
        <f t="shared" si="12"/>
        <v>01</v>
      </c>
    </row>
    <row r="494" spans="15:15" x14ac:dyDescent="0.25">
      <c r="O494" s="55" t="str">
        <f t="shared" si="12"/>
        <v>01</v>
      </c>
    </row>
    <row r="495" spans="15:15" x14ac:dyDescent="0.25">
      <c r="O495" s="55" t="str">
        <f t="shared" si="12"/>
        <v>01</v>
      </c>
    </row>
    <row r="496" spans="15:15" x14ac:dyDescent="0.25">
      <c r="O496" s="55" t="str">
        <f t="shared" si="12"/>
        <v>01</v>
      </c>
    </row>
    <row r="497" spans="15:15" x14ac:dyDescent="0.25">
      <c r="O497" s="55" t="str">
        <f t="shared" si="12"/>
        <v>01</v>
      </c>
    </row>
    <row r="498" spans="15:15" x14ac:dyDescent="0.25">
      <c r="O498" s="55" t="str">
        <f t="shared" si="12"/>
        <v>01</v>
      </c>
    </row>
    <row r="499" spans="15:15" x14ac:dyDescent="0.25">
      <c r="O499" s="55" t="str">
        <f t="shared" si="12"/>
        <v>01</v>
      </c>
    </row>
    <row r="500" spans="15:15" x14ac:dyDescent="0.25">
      <c r="O500" s="55" t="str">
        <f t="shared" si="12"/>
        <v>01</v>
      </c>
    </row>
    <row r="501" spans="15:15" x14ac:dyDescent="0.25">
      <c r="O501" s="55" t="str">
        <f t="shared" si="12"/>
        <v>01</v>
      </c>
    </row>
    <row r="502" spans="15:15" x14ac:dyDescent="0.25">
      <c r="O502" s="55" t="str">
        <f t="shared" si="12"/>
        <v>01</v>
      </c>
    </row>
    <row r="503" spans="15:15" x14ac:dyDescent="0.25">
      <c r="O503" s="55" t="str">
        <f t="shared" si="12"/>
        <v>01</v>
      </c>
    </row>
    <row r="504" spans="15:15" x14ac:dyDescent="0.25">
      <c r="O504" s="55" t="str">
        <f t="shared" si="12"/>
        <v>01</v>
      </c>
    </row>
    <row r="505" spans="15:15" x14ac:dyDescent="0.25">
      <c r="O505" s="55" t="str">
        <f t="shared" si="12"/>
        <v>01</v>
      </c>
    </row>
    <row r="506" spans="15:15" x14ac:dyDescent="0.25">
      <c r="O506" s="55" t="str">
        <f t="shared" si="12"/>
        <v>01</v>
      </c>
    </row>
    <row r="507" spans="15:15" x14ac:dyDescent="0.25">
      <c r="O507" s="55" t="str">
        <f t="shared" si="12"/>
        <v>01</v>
      </c>
    </row>
    <row r="508" spans="15:15" x14ac:dyDescent="0.25">
      <c r="O508" s="55" t="str">
        <f t="shared" si="12"/>
        <v>01</v>
      </c>
    </row>
    <row r="509" spans="15:15" x14ac:dyDescent="0.25">
      <c r="O509" s="55" t="str">
        <f t="shared" si="12"/>
        <v>01</v>
      </c>
    </row>
    <row r="510" spans="15:15" x14ac:dyDescent="0.25">
      <c r="O510" s="55" t="str">
        <f t="shared" si="12"/>
        <v>01</v>
      </c>
    </row>
    <row r="511" spans="15:15" x14ac:dyDescent="0.25">
      <c r="O511" s="55" t="str">
        <f t="shared" si="12"/>
        <v>01</v>
      </c>
    </row>
    <row r="512" spans="15:15" x14ac:dyDescent="0.25">
      <c r="O512" s="55" t="str">
        <f t="shared" si="12"/>
        <v>01</v>
      </c>
    </row>
    <row r="513" spans="15:15" x14ac:dyDescent="0.25">
      <c r="O513" s="55" t="str">
        <f t="shared" si="12"/>
        <v>01</v>
      </c>
    </row>
    <row r="514" spans="15:15" x14ac:dyDescent="0.25">
      <c r="O514" s="55" t="str">
        <f t="shared" si="12"/>
        <v>01</v>
      </c>
    </row>
    <row r="515" spans="15:15" x14ac:dyDescent="0.25">
      <c r="O515" s="55" t="str">
        <f t="shared" si="12"/>
        <v>01</v>
      </c>
    </row>
    <row r="516" spans="15:15" x14ac:dyDescent="0.25">
      <c r="O516" s="55" t="str">
        <f t="shared" si="12"/>
        <v>01</v>
      </c>
    </row>
    <row r="517" spans="15:15" x14ac:dyDescent="0.25">
      <c r="O517" s="55" t="str">
        <f t="shared" si="12"/>
        <v>01</v>
      </c>
    </row>
    <row r="518" spans="15:15" x14ac:dyDescent="0.25">
      <c r="O518" s="55" t="str">
        <f t="shared" si="12"/>
        <v>01</v>
      </c>
    </row>
    <row r="519" spans="15:15" x14ac:dyDescent="0.25">
      <c r="O519" s="55" t="str">
        <f t="shared" si="12"/>
        <v>01</v>
      </c>
    </row>
    <row r="520" spans="15:15" x14ac:dyDescent="0.25">
      <c r="O520" s="55" t="str">
        <f t="shared" si="12"/>
        <v>01</v>
      </c>
    </row>
    <row r="521" spans="15:15" x14ac:dyDescent="0.25">
      <c r="O521" s="55" t="str">
        <f t="shared" si="12"/>
        <v>01</v>
      </c>
    </row>
    <row r="522" spans="15:15" x14ac:dyDescent="0.25">
      <c r="O522" s="55" t="str">
        <f t="shared" si="12"/>
        <v>01</v>
      </c>
    </row>
    <row r="523" spans="15:15" x14ac:dyDescent="0.25">
      <c r="O523" s="55" t="str">
        <f t="shared" si="12"/>
        <v>01</v>
      </c>
    </row>
    <row r="524" spans="15:15" x14ac:dyDescent="0.25">
      <c r="O524" s="55" t="str">
        <f t="shared" si="12"/>
        <v>01</v>
      </c>
    </row>
    <row r="525" spans="15:15" x14ac:dyDescent="0.25">
      <c r="O525" s="55" t="str">
        <f t="shared" si="12"/>
        <v>01</v>
      </c>
    </row>
    <row r="526" spans="15:15" x14ac:dyDescent="0.25">
      <c r="O526" s="55" t="str">
        <f t="shared" si="12"/>
        <v>01</v>
      </c>
    </row>
    <row r="527" spans="15:15" x14ac:dyDescent="0.25">
      <c r="O527" s="55" t="str">
        <f t="shared" si="12"/>
        <v>01</v>
      </c>
    </row>
    <row r="528" spans="15:15" x14ac:dyDescent="0.25">
      <c r="O528" s="55" t="str">
        <f t="shared" si="12"/>
        <v>01</v>
      </c>
    </row>
    <row r="529" spans="15:15" x14ac:dyDescent="0.25">
      <c r="O529" s="55" t="str">
        <f t="shared" si="12"/>
        <v>01</v>
      </c>
    </row>
    <row r="530" spans="15:15" x14ac:dyDescent="0.25">
      <c r="O530" s="55" t="str">
        <f t="shared" si="12"/>
        <v>01</v>
      </c>
    </row>
    <row r="531" spans="15:15" x14ac:dyDescent="0.25">
      <c r="O531" s="55" t="str">
        <f t="shared" si="12"/>
        <v>01</v>
      </c>
    </row>
    <row r="532" spans="15:15" x14ac:dyDescent="0.25">
      <c r="O532" s="55" t="str">
        <f t="shared" si="12"/>
        <v>01</v>
      </c>
    </row>
    <row r="533" spans="15:15" x14ac:dyDescent="0.25">
      <c r="O533" s="55" t="str">
        <f t="shared" si="12"/>
        <v>01</v>
      </c>
    </row>
    <row r="534" spans="15:15" x14ac:dyDescent="0.25">
      <c r="O534" s="55" t="str">
        <f t="shared" si="12"/>
        <v>01</v>
      </c>
    </row>
    <row r="535" spans="15:15" x14ac:dyDescent="0.25">
      <c r="O535" s="55" t="str">
        <f t="shared" si="12"/>
        <v>01</v>
      </c>
    </row>
    <row r="536" spans="15:15" x14ac:dyDescent="0.25">
      <c r="O536" s="55" t="str">
        <f t="shared" si="12"/>
        <v>01</v>
      </c>
    </row>
    <row r="537" spans="15:15" x14ac:dyDescent="0.25">
      <c r="O537" s="55" t="str">
        <f t="shared" si="12"/>
        <v>01</v>
      </c>
    </row>
    <row r="538" spans="15:15" x14ac:dyDescent="0.25">
      <c r="O538" s="55" t="str">
        <f t="shared" ref="O538:O601" si="13">+TEXT(H538,"MM")</f>
        <v>01</v>
      </c>
    </row>
    <row r="539" spans="15:15" x14ac:dyDescent="0.25">
      <c r="O539" s="55" t="str">
        <f t="shared" si="13"/>
        <v>01</v>
      </c>
    </row>
    <row r="540" spans="15:15" x14ac:dyDescent="0.25">
      <c r="O540" s="55" t="str">
        <f t="shared" si="13"/>
        <v>01</v>
      </c>
    </row>
    <row r="541" spans="15:15" x14ac:dyDescent="0.25">
      <c r="O541" s="55" t="str">
        <f t="shared" si="13"/>
        <v>01</v>
      </c>
    </row>
    <row r="542" spans="15:15" x14ac:dyDescent="0.25">
      <c r="O542" s="55" t="str">
        <f t="shared" si="13"/>
        <v>01</v>
      </c>
    </row>
    <row r="543" spans="15:15" x14ac:dyDescent="0.25">
      <c r="O543" s="55" t="str">
        <f t="shared" si="13"/>
        <v>01</v>
      </c>
    </row>
    <row r="544" spans="15:15" x14ac:dyDescent="0.25">
      <c r="O544" s="55" t="str">
        <f t="shared" si="13"/>
        <v>01</v>
      </c>
    </row>
    <row r="545" spans="15:15" x14ac:dyDescent="0.25">
      <c r="O545" s="55" t="str">
        <f t="shared" si="13"/>
        <v>01</v>
      </c>
    </row>
    <row r="546" spans="15:15" x14ac:dyDescent="0.25">
      <c r="O546" s="55" t="str">
        <f t="shared" si="13"/>
        <v>01</v>
      </c>
    </row>
    <row r="547" spans="15:15" x14ac:dyDescent="0.25">
      <c r="O547" s="55" t="str">
        <f t="shared" si="13"/>
        <v>01</v>
      </c>
    </row>
    <row r="548" spans="15:15" x14ac:dyDescent="0.25">
      <c r="O548" s="55" t="str">
        <f t="shared" si="13"/>
        <v>01</v>
      </c>
    </row>
    <row r="549" spans="15:15" x14ac:dyDescent="0.25">
      <c r="O549" s="55" t="str">
        <f t="shared" si="13"/>
        <v>01</v>
      </c>
    </row>
    <row r="550" spans="15:15" x14ac:dyDescent="0.25">
      <c r="O550" s="55" t="str">
        <f t="shared" si="13"/>
        <v>01</v>
      </c>
    </row>
    <row r="551" spans="15:15" x14ac:dyDescent="0.25">
      <c r="O551" s="55" t="str">
        <f t="shared" si="13"/>
        <v>01</v>
      </c>
    </row>
    <row r="552" spans="15:15" x14ac:dyDescent="0.25">
      <c r="O552" s="55" t="str">
        <f t="shared" si="13"/>
        <v>01</v>
      </c>
    </row>
    <row r="553" spans="15:15" x14ac:dyDescent="0.25">
      <c r="O553" s="55" t="str">
        <f t="shared" si="13"/>
        <v>01</v>
      </c>
    </row>
    <row r="554" spans="15:15" x14ac:dyDescent="0.25">
      <c r="O554" s="55" t="str">
        <f t="shared" si="13"/>
        <v>01</v>
      </c>
    </row>
    <row r="555" spans="15:15" x14ac:dyDescent="0.25">
      <c r="O555" s="55" t="str">
        <f t="shared" si="13"/>
        <v>01</v>
      </c>
    </row>
    <row r="556" spans="15:15" x14ac:dyDescent="0.25">
      <c r="O556" s="55" t="str">
        <f t="shared" si="13"/>
        <v>01</v>
      </c>
    </row>
    <row r="557" spans="15:15" x14ac:dyDescent="0.25">
      <c r="O557" s="55" t="str">
        <f t="shared" si="13"/>
        <v>01</v>
      </c>
    </row>
    <row r="558" spans="15:15" x14ac:dyDescent="0.25">
      <c r="O558" s="55" t="str">
        <f t="shared" si="13"/>
        <v>01</v>
      </c>
    </row>
    <row r="559" spans="15:15" x14ac:dyDescent="0.25">
      <c r="O559" s="55" t="str">
        <f t="shared" si="13"/>
        <v>01</v>
      </c>
    </row>
    <row r="560" spans="15:15" x14ac:dyDescent="0.25">
      <c r="O560" s="55" t="str">
        <f t="shared" si="13"/>
        <v>01</v>
      </c>
    </row>
    <row r="561" spans="15:15" x14ac:dyDescent="0.25">
      <c r="O561" s="55" t="str">
        <f t="shared" si="13"/>
        <v>01</v>
      </c>
    </row>
    <row r="562" spans="15:15" x14ac:dyDescent="0.25">
      <c r="O562" s="55" t="str">
        <f t="shared" si="13"/>
        <v>01</v>
      </c>
    </row>
    <row r="563" spans="15:15" x14ac:dyDescent="0.25">
      <c r="O563" s="55" t="str">
        <f t="shared" si="13"/>
        <v>01</v>
      </c>
    </row>
    <row r="564" spans="15:15" x14ac:dyDescent="0.25">
      <c r="O564" s="55" t="str">
        <f t="shared" si="13"/>
        <v>01</v>
      </c>
    </row>
    <row r="565" spans="15:15" x14ac:dyDescent="0.25">
      <c r="O565" s="55" t="str">
        <f t="shared" si="13"/>
        <v>01</v>
      </c>
    </row>
    <row r="566" spans="15:15" x14ac:dyDescent="0.25">
      <c r="O566" s="55" t="str">
        <f t="shared" si="13"/>
        <v>01</v>
      </c>
    </row>
    <row r="567" spans="15:15" x14ac:dyDescent="0.25">
      <c r="O567" s="55" t="str">
        <f t="shared" si="13"/>
        <v>01</v>
      </c>
    </row>
    <row r="568" spans="15:15" x14ac:dyDescent="0.25">
      <c r="O568" s="55" t="str">
        <f t="shared" si="13"/>
        <v>01</v>
      </c>
    </row>
    <row r="569" spans="15:15" x14ac:dyDescent="0.25">
      <c r="O569" s="55" t="str">
        <f t="shared" si="13"/>
        <v>01</v>
      </c>
    </row>
    <row r="570" spans="15:15" x14ac:dyDescent="0.25">
      <c r="O570" s="55" t="str">
        <f t="shared" si="13"/>
        <v>01</v>
      </c>
    </row>
    <row r="571" spans="15:15" x14ac:dyDescent="0.25">
      <c r="O571" s="55" t="str">
        <f t="shared" si="13"/>
        <v>01</v>
      </c>
    </row>
    <row r="572" spans="15:15" x14ac:dyDescent="0.25">
      <c r="O572" s="55" t="str">
        <f t="shared" si="13"/>
        <v>01</v>
      </c>
    </row>
    <row r="573" spans="15:15" x14ac:dyDescent="0.25">
      <c r="O573" s="55" t="str">
        <f t="shared" si="13"/>
        <v>01</v>
      </c>
    </row>
    <row r="574" spans="15:15" x14ac:dyDescent="0.25">
      <c r="O574" s="55" t="str">
        <f t="shared" si="13"/>
        <v>01</v>
      </c>
    </row>
    <row r="575" spans="15:15" x14ac:dyDescent="0.25">
      <c r="O575" s="55" t="str">
        <f t="shared" si="13"/>
        <v>01</v>
      </c>
    </row>
    <row r="576" spans="15:15" x14ac:dyDescent="0.25">
      <c r="O576" s="55" t="str">
        <f t="shared" si="13"/>
        <v>01</v>
      </c>
    </row>
    <row r="577" spans="15:15" x14ac:dyDescent="0.25">
      <c r="O577" s="55" t="str">
        <f t="shared" si="13"/>
        <v>01</v>
      </c>
    </row>
    <row r="578" spans="15:15" x14ac:dyDescent="0.25">
      <c r="O578" s="55" t="str">
        <f t="shared" si="13"/>
        <v>01</v>
      </c>
    </row>
    <row r="579" spans="15:15" x14ac:dyDescent="0.25">
      <c r="O579" s="55" t="str">
        <f t="shared" si="13"/>
        <v>01</v>
      </c>
    </row>
    <row r="580" spans="15:15" x14ac:dyDescent="0.25">
      <c r="O580" s="55" t="str">
        <f t="shared" si="13"/>
        <v>01</v>
      </c>
    </row>
    <row r="581" spans="15:15" x14ac:dyDescent="0.25">
      <c r="O581" s="55" t="str">
        <f t="shared" si="13"/>
        <v>01</v>
      </c>
    </row>
    <row r="582" spans="15:15" x14ac:dyDescent="0.25">
      <c r="O582" s="55" t="str">
        <f t="shared" si="13"/>
        <v>01</v>
      </c>
    </row>
    <row r="583" spans="15:15" x14ac:dyDescent="0.25">
      <c r="O583" s="55" t="str">
        <f t="shared" si="13"/>
        <v>01</v>
      </c>
    </row>
    <row r="584" spans="15:15" x14ac:dyDescent="0.25">
      <c r="O584" s="55" t="str">
        <f t="shared" si="13"/>
        <v>01</v>
      </c>
    </row>
    <row r="585" spans="15:15" x14ac:dyDescent="0.25">
      <c r="O585" s="55" t="str">
        <f t="shared" si="13"/>
        <v>01</v>
      </c>
    </row>
    <row r="586" spans="15:15" x14ac:dyDescent="0.25">
      <c r="O586" s="55" t="str">
        <f t="shared" si="13"/>
        <v>01</v>
      </c>
    </row>
    <row r="587" spans="15:15" x14ac:dyDescent="0.25">
      <c r="O587" s="55" t="str">
        <f t="shared" si="13"/>
        <v>01</v>
      </c>
    </row>
    <row r="588" spans="15:15" x14ac:dyDescent="0.25">
      <c r="O588" s="55" t="str">
        <f t="shared" si="13"/>
        <v>01</v>
      </c>
    </row>
    <row r="589" spans="15:15" x14ac:dyDescent="0.25">
      <c r="O589" s="55" t="str">
        <f t="shared" si="13"/>
        <v>01</v>
      </c>
    </row>
    <row r="590" spans="15:15" x14ac:dyDescent="0.25">
      <c r="O590" s="55" t="str">
        <f t="shared" si="13"/>
        <v>01</v>
      </c>
    </row>
    <row r="591" spans="15:15" x14ac:dyDescent="0.25">
      <c r="O591" s="55" t="str">
        <f t="shared" si="13"/>
        <v>01</v>
      </c>
    </row>
    <row r="592" spans="15:15" x14ac:dyDescent="0.25">
      <c r="O592" s="55" t="str">
        <f t="shared" si="13"/>
        <v>01</v>
      </c>
    </row>
    <row r="593" spans="15:15" x14ac:dyDescent="0.25">
      <c r="O593" s="55" t="str">
        <f t="shared" si="13"/>
        <v>01</v>
      </c>
    </row>
    <row r="594" spans="15:15" x14ac:dyDescent="0.25">
      <c r="O594" s="55" t="str">
        <f t="shared" si="13"/>
        <v>01</v>
      </c>
    </row>
    <row r="595" spans="15:15" x14ac:dyDescent="0.25">
      <c r="O595" s="55" t="str">
        <f t="shared" si="13"/>
        <v>01</v>
      </c>
    </row>
    <row r="596" spans="15:15" x14ac:dyDescent="0.25">
      <c r="O596" s="55" t="str">
        <f t="shared" si="13"/>
        <v>01</v>
      </c>
    </row>
    <row r="597" spans="15:15" x14ac:dyDescent="0.25">
      <c r="O597" s="55" t="str">
        <f t="shared" si="13"/>
        <v>01</v>
      </c>
    </row>
    <row r="598" spans="15:15" x14ac:dyDescent="0.25">
      <c r="O598" s="55" t="str">
        <f t="shared" si="13"/>
        <v>01</v>
      </c>
    </row>
    <row r="599" spans="15:15" x14ac:dyDescent="0.25">
      <c r="O599" s="55" t="str">
        <f t="shared" si="13"/>
        <v>01</v>
      </c>
    </row>
    <row r="600" spans="15:15" x14ac:dyDescent="0.25">
      <c r="O600" s="55" t="str">
        <f t="shared" si="13"/>
        <v>01</v>
      </c>
    </row>
    <row r="601" spans="15:15" x14ac:dyDescent="0.25">
      <c r="O601" s="55" t="str">
        <f t="shared" si="13"/>
        <v>01</v>
      </c>
    </row>
    <row r="602" spans="15:15" x14ac:dyDescent="0.25">
      <c r="O602" s="55" t="str">
        <f t="shared" ref="O602:O665" si="14">+TEXT(H602,"MM")</f>
        <v>01</v>
      </c>
    </row>
    <row r="603" spans="15:15" x14ac:dyDescent="0.25">
      <c r="O603" s="55" t="str">
        <f t="shared" si="14"/>
        <v>01</v>
      </c>
    </row>
    <row r="604" spans="15:15" x14ac:dyDescent="0.25">
      <c r="O604" s="55" t="str">
        <f t="shared" si="14"/>
        <v>01</v>
      </c>
    </row>
    <row r="605" spans="15:15" x14ac:dyDescent="0.25">
      <c r="O605" s="55" t="str">
        <f t="shared" si="14"/>
        <v>01</v>
      </c>
    </row>
    <row r="606" spans="15:15" x14ac:dyDescent="0.25">
      <c r="O606" s="55" t="str">
        <f t="shared" si="14"/>
        <v>01</v>
      </c>
    </row>
    <row r="607" spans="15:15" x14ac:dyDescent="0.25">
      <c r="O607" s="55" t="str">
        <f t="shared" si="14"/>
        <v>01</v>
      </c>
    </row>
    <row r="608" spans="15:15" x14ac:dyDescent="0.25">
      <c r="O608" s="55" t="str">
        <f t="shared" si="14"/>
        <v>01</v>
      </c>
    </row>
    <row r="609" spans="15:15" x14ac:dyDescent="0.25">
      <c r="O609" s="55" t="str">
        <f t="shared" si="14"/>
        <v>01</v>
      </c>
    </row>
    <row r="610" spans="15:15" x14ac:dyDescent="0.25">
      <c r="O610" s="55" t="str">
        <f t="shared" si="14"/>
        <v>01</v>
      </c>
    </row>
    <row r="611" spans="15:15" x14ac:dyDescent="0.25">
      <c r="O611" s="55" t="str">
        <f t="shared" si="14"/>
        <v>01</v>
      </c>
    </row>
    <row r="612" spans="15:15" x14ac:dyDescent="0.25">
      <c r="O612" s="55" t="str">
        <f t="shared" si="14"/>
        <v>01</v>
      </c>
    </row>
    <row r="613" spans="15:15" x14ac:dyDescent="0.25">
      <c r="O613" s="55" t="str">
        <f t="shared" si="14"/>
        <v>01</v>
      </c>
    </row>
    <row r="614" spans="15:15" x14ac:dyDescent="0.25">
      <c r="O614" s="55" t="str">
        <f t="shared" si="14"/>
        <v>01</v>
      </c>
    </row>
    <row r="615" spans="15:15" x14ac:dyDescent="0.25">
      <c r="O615" s="55" t="str">
        <f t="shared" si="14"/>
        <v>01</v>
      </c>
    </row>
    <row r="616" spans="15:15" x14ac:dyDescent="0.25">
      <c r="O616" s="55" t="str">
        <f t="shared" si="14"/>
        <v>01</v>
      </c>
    </row>
    <row r="617" spans="15:15" x14ac:dyDescent="0.25">
      <c r="O617" s="55" t="str">
        <f t="shared" si="14"/>
        <v>01</v>
      </c>
    </row>
    <row r="618" spans="15:15" x14ac:dyDescent="0.25">
      <c r="O618" s="55" t="str">
        <f t="shared" si="14"/>
        <v>01</v>
      </c>
    </row>
    <row r="619" spans="15:15" x14ac:dyDescent="0.25">
      <c r="O619" s="55" t="str">
        <f t="shared" si="14"/>
        <v>01</v>
      </c>
    </row>
    <row r="620" spans="15:15" x14ac:dyDescent="0.25">
      <c r="O620" s="55" t="str">
        <f t="shared" si="14"/>
        <v>01</v>
      </c>
    </row>
    <row r="621" spans="15:15" x14ac:dyDescent="0.25">
      <c r="O621" s="55" t="str">
        <f t="shared" si="14"/>
        <v>01</v>
      </c>
    </row>
    <row r="622" spans="15:15" x14ac:dyDescent="0.25">
      <c r="O622" s="55" t="str">
        <f t="shared" si="14"/>
        <v>01</v>
      </c>
    </row>
    <row r="623" spans="15:15" x14ac:dyDescent="0.25">
      <c r="O623" s="55" t="str">
        <f t="shared" si="14"/>
        <v>01</v>
      </c>
    </row>
    <row r="624" spans="15:15" x14ac:dyDescent="0.25">
      <c r="O624" s="55" t="str">
        <f t="shared" si="14"/>
        <v>01</v>
      </c>
    </row>
    <row r="625" spans="15:15" x14ac:dyDescent="0.25">
      <c r="O625" s="55" t="str">
        <f t="shared" si="14"/>
        <v>01</v>
      </c>
    </row>
    <row r="626" spans="15:15" x14ac:dyDescent="0.25">
      <c r="O626" s="55" t="str">
        <f t="shared" si="14"/>
        <v>01</v>
      </c>
    </row>
    <row r="627" spans="15:15" x14ac:dyDescent="0.25">
      <c r="O627" s="55" t="str">
        <f t="shared" si="14"/>
        <v>01</v>
      </c>
    </row>
    <row r="628" spans="15:15" x14ac:dyDescent="0.25">
      <c r="O628" s="55" t="str">
        <f t="shared" si="14"/>
        <v>01</v>
      </c>
    </row>
    <row r="629" spans="15:15" x14ac:dyDescent="0.25">
      <c r="O629" s="55" t="str">
        <f t="shared" si="14"/>
        <v>01</v>
      </c>
    </row>
    <row r="630" spans="15:15" x14ac:dyDescent="0.25">
      <c r="O630" s="55" t="str">
        <f t="shared" si="14"/>
        <v>01</v>
      </c>
    </row>
    <row r="631" spans="15:15" x14ac:dyDescent="0.25">
      <c r="O631" s="55" t="str">
        <f t="shared" si="14"/>
        <v>01</v>
      </c>
    </row>
    <row r="632" spans="15:15" x14ac:dyDescent="0.25">
      <c r="O632" s="55" t="str">
        <f t="shared" si="14"/>
        <v>01</v>
      </c>
    </row>
    <row r="633" spans="15:15" x14ac:dyDescent="0.25">
      <c r="O633" s="55" t="str">
        <f t="shared" si="14"/>
        <v>01</v>
      </c>
    </row>
    <row r="634" spans="15:15" x14ac:dyDescent="0.25">
      <c r="O634" s="55" t="str">
        <f t="shared" si="14"/>
        <v>01</v>
      </c>
    </row>
    <row r="635" spans="15:15" x14ac:dyDescent="0.25">
      <c r="O635" s="55" t="str">
        <f t="shared" si="14"/>
        <v>01</v>
      </c>
    </row>
    <row r="636" spans="15:15" x14ac:dyDescent="0.25">
      <c r="O636" s="55" t="str">
        <f t="shared" si="14"/>
        <v>01</v>
      </c>
    </row>
    <row r="637" spans="15:15" x14ac:dyDescent="0.25">
      <c r="O637" s="55" t="str">
        <f t="shared" si="14"/>
        <v>01</v>
      </c>
    </row>
    <row r="638" spans="15:15" x14ac:dyDescent="0.25">
      <c r="O638" s="55" t="str">
        <f t="shared" si="14"/>
        <v>01</v>
      </c>
    </row>
    <row r="639" spans="15:15" x14ac:dyDescent="0.25">
      <c r="O639" s="55" t="str">
        <f t="shared" si="14"/>
        <v>01</v>
      </c>
    </row>
    <row r="640" spans="15:15" x14ac:dyDescent="0.25">
      <c r="O640" s="55" t="str">
        <f t="shared" si="14"/>
        <v>01</v>
      </c>
    </row>
    <row r="641" spans="15:15" x14ac:dyDescent="0.25">
      <c r="O641" s="55" t="str">
        <f t="shared" si="14"/>
        <v>01</v>
      </c>
    </row>
    <row r="642" spans="15:15" x14ac:dyDescent="0.25">
      <c r="O642" s="55" t="str">
        <f t="shared" si="14"/>
        <v>01</v>
      </c>
    </row>
    <row r="643" spans="15:15" x14ac:dyDescent="0.25">
      <c r="O643" s="55" t="str">
        <f t="shared" si="14"/>
        <v>01</v>
      </c>
    </row>
    <row r="644" spans="15:15" x14ac:dyDescent="0.25">
      <c r="O644" s="55" t="str">
        <f t="shared" si="14"/>
        <v>01</v>
      </c>
    </row>
    <row r="645" spans="15:15" x14ac:dyDescent="0.25">
      <c r="O645" s="55" t="str">
        <f t="shared" si="14"/>
        <v>01</v>
      </c>
    </row>
    <row r="646" spans="15:15" x14ac:dyDescent="0.25">
      <c r="O646" s="55" t="str">
        <f t="shared" si="14"/>
        <v>01</v>
      </c>
    </row>
    <row r="647" spans="15:15" x14ac:dyDescent="0.25">
      <c r="O647" s="55" t="str">
        <f t="shared" si="14"/>
        <v>01</v>
      </c>
    </row>
    <row r="648" spans="15:15" x14ac:dyDescent="0.25">
      <c r="O648" s="55" t="str">
        <f t="shared" si="14"/>
        <v>01</v>
      </c>
    </row>
    <row r="649" spans="15:15" x14ac:dyDescent="0.25">
      <c r="O649" s="55" t="str">
        <f t="shared" si="14"/>
        <v>01</v>
      </c>
    </row>
    <row r="650" spans="15:15" x14ac:dyDescent="0.25">
      <c r="O650" s="55" t="str">
        <f t="shared" si="14"/>
        <v>01</v>
      </c>
    </row>
    <row r="651" spans="15:15" x14ac:dyDescent="0.25">
      <c r="O651" s="55" t="str">
        <f t="shared" si="14"/>
        <v>01</v>
      </c>
    </row>
    <row r="652" spans="15:15" x14ac:dyDescent="0.25">
      <c r="O652" s="55" t="str">
        <f t="shared" si="14"/>
        <v>01</v>
      </c>
    </row>
    <row r="653" spans="15:15" x14ac:dyDescent="0.25">
      <c r="O653" s="55" t="str">
        <f t="shared" si="14"/>
        <v>01</v>
      </c>
    </row>
    <row r="654" spans="15:15" x14ac:dyDescent="0.25">
      <c r="O654" s="55" t="str">
        <f t="shared" si="14"/>
        <v>01</v>
      </c>
    </row>
    <row r="655" spans="15:15" x14ac:dyDescent="0.25">
      <c r="O655" s="55" t="str">
        <f t="shared" si="14"/>
        <v>01</v>
      </c>
    </row>
    <row r="656" spans="15:15" x14ac:dyDescent="0.25">
      <c r="O656" s="55" t="str">
        <f t="shared" si="14"/>
        <v>01</v>
      </c>
    </row>
    <row r="657" spans="15:15" x14ac:dyDescent="0.25">
      <c r="O657" s="55" t="str">
        <f t="shared" si="14"/>
        <v>01</v>
      </c>
    </row>
    <row r="658" spans="15:15" x14ac:dyDescent="0.25">
      <c r="O658" s="55" t="str">
        <f t="shared" si="14"/>
        <v>01</v>
      </c>
    </row>
    <row r="659" spans="15:15" x14ac:dyDescent="0.25">
      <c r="O659" s="55" t="str">
        <f t="shared" si="14"/>
        <v>01</v>
      </c>
    </row>
    <row r="660" spans="15:15" x14ac:dyDescent="0.25">
      <c r="O660" s="55" t="str">
        <f t="shared" si="14"/>
        <v>01</v>
      </c>
    </row>
    <row r="661" spans="15:15" x14ac:dyDescent="0.25">
      <c r="O661" s="55" t="str">
        <f t="shared" si="14"/>
        <v>01</v>
      </c>
    </row>
    <row r="662" spans="15:15" x14ac:dyDescent="0.25">
      <c r="O662" s="55" t="str">
        <f t="shared" si="14"/>
        <v>01</v>
      </c>
    </row>
    <row r="663" spans="15:15" x14ac:dyDescent="0.25">
      <c r="O663" s="55" t="str">
        <f t="shared" si="14"/>
        <v>01</v>
      </c>
    </row>
    <row r="664" spans="15:15" x14ac:dyDescent="0.25">
      <c r="O664" s="55" t="str">
        <f t="shared" si="14"/>
        <v>01</v>
      </c>
    </row>
    <row r="665" spans="15:15" x14ac:dyDescent="0.25">
      <c r="O665" s="55" t="str">
        <f t="shared" si="14"/>
        <v>01</v>
      </c>
    </row>
    <row r="666" spans="15:15" x14ac:dyDescent="0.25">
      <c r="O666" s="55" t="str">
        <f t="shared" ref="O666:O729" si="15">+TEXT(H666,"MM")</f>
        <v>01</v>
      </c>
    </row>
    <row r="667" spans="15:15" x14ac:dyDescent="0.25">
      <c r="O667" s="55" t="str">
        <f t="shared" si="15"/>
        <v>01</v>
      </c>
    </row>
    <row r="668" spans="15:15" x14ac:dyDescent="0.25">
      <c r="O668" s="55" t="str">
        <f t="shared" si="15"/>
        <v>01</v>
      </c>
    </row>
    <row r="669" spans="15:15" x14ac:dyDescent="0.25">
      <c r="O669" s="55" t="str">
        <f t="shared" si="15"/>
        <v>01</v>
      </c>
    </row>
    <row r="670" spans="15:15" x14ac:dyDescent="0.25">
      <c r="O670" s="55" t="str">
        <f t="shared" si="15"/>
        <v>01</v>
      </c>
    </row>
    <row r="671" spans="15:15" x14ac:dyDescent="0.25">
      <c r="O671" s="55" t="str">
        <f t="shared" si="15"/>
        <v>01</v>
      </c>
    </row>
    <row r="672" spans="15:15" x14ac:dyDescent="0.25">
      <c r="O672" s="55" t="str">
        <f t="shared" si="15"/>
        <v>01</v>
      </c>
    </row>
    <row r="673" spans="15:15" x14ac:dyDescent="0.25">
      <c r="O673" s="55" t="str">
        <f t="shared" si="15"/>
        <v>01</v>
      </c>
    </row>
    <row r="674" spans="15:15" x14ac:dyDescent="0.25">
      <c r="O674" s="55" t="str">
        <f t="shared" si="15"/>
        <v>01</v>
      </c>
    </row>
    <row r="675" spans="15:15" x14ac:dyDescent="0.25">
      <c r="O675" s="55" t="str">
        <f t="shared" si="15"/>
        <v>01</v>
      </c>
    </row>
    <row r="676" spans="15:15" x14ac:dyDescent="0.25">
      <c r="O676" s="55" t="str">
        <f t="shared" si="15"/>
        <v>01</v>
      </c>
    </row>
    <row r="677" spans="15:15" x14ac:dyDescent="0.25">
      <c r="O677" s="55" t="str">
        <f t="shared" si="15"/>
        <v>01</v>
      </c>
    </row>
    <row r="678" spans="15:15" x14ac:dyDescent="0.25">
      <c r="O678" s="55" t="str">
        <f t="shared" si="15"/>
        <v>01</v>
      </c>
    </row>
    <row r="679" spans="15:15" x14ac:dyDescent="0.25">
      <c r="O679" s="55" t="str">
        <f t="shared" si="15"/>
        <v>01</v>
      </c>
    </row>
    <row r="680" spans="15:15" x14ac:dyDescent="0.25">
      <c r="O680" s="55" t="str">
        <f t="shared" si="15"/>
        <v>01</v>
      </c>
    </row>
    <row r="681" spans="15:15" x14ac:dyDescent="0.25">
      <c r="O681" s="55" t="str">
        <f t="shared" si="15"/>
        <v>01</v>
      </c>
    </row>
    <row r="682" spans="15:15" x14ac:dyDescent="0.25">
      <c r="O682" s="55" t="str">
        <f t="shared" si="15"/>
        <v>01</v>
      </c>
    </row>
    <row r="683" spans="15:15" x14ac:dyDescent="0.25">
      <c r="O683" s="55" t="str">
        <f t="shared" si="15"/>
        <v>01</v>
      </c>
    </row>
    <row r="684" spans="15:15" x14ac:dyDescent="0.25">
      <c r="O684" s="55" t="str">
        <f t="shared" si="15"/>
        <v>01</v>
      </c>
    </row>
    <row r="685" spans="15:15" x14ac:dyDescent="0.25">
      <c r="O685" s="55" t="str">
        <f t="shared" si="15"/>
        <v>01</v>
      </c>
    </row>
    <row r="686" spans="15:15" x14ac:dyDescent="0.25">
      <c r="O686" s="55" t="str">
        <f t="shared" si="15"/>
        <v>01</v>
      </c>
    </row>
    <row r="687" spans="15:15" x14ac:dyDescent="0.25">
      <c r="O687" s="55" t="str">
        <f t="shared" si="15"/>
        <v>01</v>
      </c>
    </row>
    <row r="688" spans="15:15" x14ac:dyDescent="0.25">
      <c r="O688" s="55" t="str">
        <f t="shared" si="15"/>
        <v>01</v>
      </c>
    </row>
    <row r="689" spans="15:15" x14ac:dyDescent="0.25">
      <c r="O689" s="55" t="str">
        <f t="shared" si="15"/>
        <v>01</v>
      </c>
    </row>
    <row r="690" spans="15:15" x14ac:dyDescent="0.25">
      <c r="O690" s="55" t="str">
        <f t="shared" si="15"/>
        <v>01</v>
      </c>
    </row>
    <row r="691" spans="15:15" x14ac:dyDescent="0.25">
      <c r="O691" s="55" t="str">
        <f t="shared" si="15"/>
        <v>01</v>
      </c>
    </row>
    <row r="692" spans="15:15" x14ac:dyDescent="0.25">
      <c r="O692" s="55" t="str">
        <f t="shared" si="15"/>
        <v>01</v>
      </c>
    </row>
    <row r="693" spans="15:15" x14ac:dyDescent="0.25">
      <c r="O693" s="55" t="str">
        <f t="shared" si="15"/>
        <v>01</v>
      </c>
    </row>
    <row r="694" spans="15:15" x14ac:dyDescent="0.25">
      <c r="O694" s="55" t="str">
        <f t="shared" si="15"/>
        <v>01</v>
      </c>
    </row>
    <row r="695" spans="15:15" x14ac:dyDescent="0.25">
      <c r="O695" s="55" t="str">
        <f t="shared" si="15"/>
        <v>01</v>
      </c>
    </row>
    <row r="696" spans="15:15" x14ac:dyDescent="0.25">
      <c r="O696" s="55" t="str">
        <f t="shared" si="15"/>
        <v>01</v>
      </c>
    </row>
    <row r="697" spans="15:15" x14ac:dyDescent="0.25">
      <c r="O697" s="55" t="str">
        <f t="shared" si="15"/>
        <v>01</v>
      </c>
    </row>
    <row r="698" spans="15:15" x14ac:dyDescent="0.25">
      <c r="O698" s="55" t="str">
        <f t="shared" si="15"/>
        <v>01</v>
      </c>
    </row>
    <row r="699" spans="15:15" x14ac:dyDescent="0.25">
      <c r="O699" s="55" t="str">
        <f t="shared" si="15"/>
        <v>01</v>
      </c>
    </row>
    <row r="700" spans="15:15" x14ac:dyDescent="0.25">
      <c r="O700" s="55" t="str">
        <f t="shared" si="15"/>
        <v>01</v>
      </c>
    </row>
    <row r="701" spans="15:15" x14ac:dyDescent="0.25">
      <c r="O701" s="55" t="str">
        <f t="shared" si="15"/>
        <v>01</v>
      </c>
    </row>
    <row r="702" spans="15:15" x14ac:dyDescent="0.25">
      <c r="O702" s="55" t="str">
        <f t="shared" si="15"/>
        <v>01</v>
      </c>
    </row>
    <row r="703" spans="15:15" x14ac:dyDescent="0.25">
      <c r="O703" s="55" t="str">
        <f t="shared" si="15"/>
        <v>01</v>
      </c>
    </row>
    <row r="704" spans="15:15" x14ac:dyDescent="0.25">
      <c r="O704" s="55" t="str">
        <f t="shared" si="15"/>
        <v>01</v>
      </c>
    </row>
    <row r="705" spans="15:15" x14ac:dyDescent="0.25">
      <c r="O705" s="55" t="str">
        <f t="shared" si="15"/>
        <v>01</v>
      </c>
    </row>
    <row r="706" spans="15:15" x14ac:dyDescent="0.25">
      <c r="O706" s="55" t="str">
        <f t="shared" si="15"/>
        <v>01</v>
      </c>
    </row>
    <row r="707" spans="15:15" x14ac:dyDescent="0.25">
      <c r="O707" s="55" t="str">
        <f t="shared" si="15"/>
        <v>01</v>
      </c>
    </row>
    <row r="708" spans="15:15" x14ac:dyDescent="0.25">
      <c r="O708" s="55" t="str">
        <f t="shared" si="15"/>
        <v>01</v>
      </c>
    </row>
    <row r="709" spans="15:15" x14ac:dyDescent="0.25">
      <c r="O709" s="55" t="str">
        <f t="shared" si="15"/>
        <v>01</v>
      </c>
    </row>
    <row r="710" spans="15:15" x14ac:dyDescent="0.25">
      <c r="O710" s="55" t="str">
        <f t="shared" si="15"/>
        <v>01</v>
      </c>
    </row>
    <row r="711" spans="15:15" x14ac:dyDescent="0.25">
      <c r="O711" s="55" t="str">
        <f t="shared" si="15"/>
        <v>01</v>
      </c>
    </row>
    <row r="712" spans="15:15" x14ac:dyDescent="0.25">
      <c r="O712" s="55" t="str">
        <f t="shared" si="15"/>
        <v>01</v>
      </c>
    </row>
    <row r="713" spans="15:15" x14ac:dyDescent="0.25">
      <c r="O713" s="55" t="str">
        <f t="shared" si="15"/>
        <v>01</v>
      </c>
    </row>
    <row r="714" spans="15:15" x14ac:dyDescent="0.25">
      <c r="O714" s="55" t="str">
        <f t="shared" si="15"/>
        <v>01</v>
      </c>
    </row>
    <row r="715" spans="15:15" x14ac:dyDescent="0.25">
      <c r="O715" s="55" t="str">
        <f t="shared" si="15"/>
        <v>01</v>
      </c>
    </row>
    <row r="716" spans="15:15" x14ac:dyDescent="0.25">
      <c r="O716" s="55" t="str">
        <f t="shared" si="15"/>
        <v>01</v>
      </c>
    </row>
    <row r="717" spans="15:15" x14ac:dyDescent="0.25">
      <c r="O717" s="55" t="str">
        <f t="shared" si="15"/>
        <v>01</v>
      </c>
    </row>
    <row r="718" spans="15:15" x14ac:dyDescent="0.25">
      <c r="O718" s="55" t="str">
        <f t="shared" si="15"/>
        <v>01</v>
      </c>
    </row>
    <row r="719" spans="15:15" x14ac:dyDescent="0.25">
      <c r="O719" s="55" t="str">
        <f t="shared" si="15"/>
        <v>01</v>
      </c>
    </row>
    <row r="720" spans="15:15" x14ac:dyDescent="0.25">
      <c r="O720" s="55" t="str">
        <f t="shared" si="15"/>
        <v>01</v>
      </c>
    </row>
    <row r="721" spans="15:15" x14ac:dyDescent="0.25">
      <c r="O721" s="55" t="str">
        <f t="shared" si="15"/>
        <v>01</v>
      </c>
    </row>
    <row r="722" spans="15:15" x14ac:dyDescent="0.25">
      <c r="O722" s="55" t="str">
        <f t="shared" si="15"/>
        <v>01</v>
      </c>
    </row>
    <row r="723" spans="15:15" x14ac:dyDescent="0.25">
      <c r="O723" s="55" t="str">
        <f t="shared" si="15"/>
        <v>01</v>
      </c>
    </row>
    <row r="724" spans="15:15" x14ac:dyDescent="0.25">
      <c r="O724" s="55" t="str">
        <f t="shared" si="15"/>
        <v>01</v>
      </c>
    </row>
    <row r="725" spans="15:15" x14ac:dyDescent="0.25">
      <c r="O725" s="55" t="str">
        <f t="shared" si="15"/>
        <v>01</v>
      </c>
    </row>
    <row r="726" spans="15:15" x14ac:dyDescent="0.25">
      <c r="O726" s="55" t="str">
        <f t="shared" si="15"/>
        <v>01</v>
      </c>
    </row>
    <row r="727" spans="15:15" x14ac:dyDescent="0.25">
      <c r="O727" s="55" t="str">
        <f t="shared" si="15"/>
        <v>01</v>
      </c>
    </row>
    <row r="728" spans="15:15" x14ac:dyDescent="0.25">
      <c r="O728" s="55" t="str">
        <f t="shared" si="15"/>
        <v>01</v>
      </c>
    </row>
    <row r="729" spans="15:15" x14ac:dyDescent="0.25">
      <c r="O729" s="55" t="str">
        <f t="shared" si="15"/>
        <v>01</v>
      </c>
    </row>
    <row r="730" spans="15:15" x14ac:dyDescent="0.25">
      <c r="O730" s="55" t="str">
        <f t="shared" ref="O730:O793" si="16">+TEXT(H730,"MM")</f>
        <v>01</v>
      </c>
    </row>
    <row r="731" spans="15:15" x14ac:dyDescent="0.25">
      <c r="O731" s="55" t="str">
        <f t="shared" si="16"/>
        <v>01</v>
      </c>
    </row>
    <row r="732" spans="15:15" x14ac:dyDescent="0.25">
      <c r="O732" s="55" t="str">
        <f t="shared" si="16"/>
        <v>01</v>
      </c>
    </row>
    <row r="733" spans="15:15" x14ac:dyDescent="0.25">
      <c r="O733" s="55" t="str">
        <f t="shared" si="16"/>
        <v>01</v>
      </c>
    </row>
    <row r="734" spans="15:15" x14ac:dyDescent="0.25">
      <c r="O734" s="55" t="str">
        <f t="shared" si="16"/>
        <v>01</v>
      </c>
    </row>
    <row r="735" spans="15:15" x14ac:dyDescent="0.25">
      <c r="O735" s="55" t="str">
        <f t="shared" si="16"/>
        <v>01</v>
      </c>
    </row>
    <row r="736" spans="15:15" x14ac:dyDescent="0.25">
      <c r="O736" s="55" t="str">
        <f t="shared" si="16"/>
        <v>01</v>
      </c>
    </row>
    <row r="737" spans="15:15" x14ac:dyDescent="0.25">
      <c r="O737" s="55" t="str">
        <f t="shared" si="16"/>
        <v>01</v>
      </c>
    </row>
    <row r="738" spans="15:15" x14ac:dyDescent="0.25">
      <c r="O738" s="55" t="str">
        <f t="shared" si="16"/>
        <v>01</v>
      </c>
    </row>
    <row r="739" spans="15:15" x14ac:dyDescent="0.25">
      <c r="O739" s="55" t="str">
        <f t="shared" si="16"/>
        <v>01</v>
      </c>
    </row>
    <row r="740" spans="15:15" x14ac:dyDescent="0.25">
      <c r="O740" s="55" t="str">
        <f t="shared" si="16"/>
        <v>01</v>
      </c>
    </row>
    <row r="741" spans="15:15" x14ac:dyDescent="0.25">
      <c r="O741" s="55" t="str">
        <f t="shared" si="16"/>
        <v>01</v>
      </c>
    </row>
    <row r="742" spans="15:15" x14ac:dyDescent="0.25">
      <c r="O742" s="55" t="str">
        <f t="shared" si="16"/>
        <v>01</v>
      </c>
    </row>
    <row r="743" spans="15:15" x14ac:dyDescent="0.25">
      <c r="O743" s="55" t="str">
        <f t="shared" si="16"/>
        <v>01</v>
      </c>
    </row>
    <row r="744" spans="15:15" x14ac:dyDescent="0.25">
      <c r="O744" s="55" t="str">
        <f t="shared" si="16"/>
        <v>01</v>
      </c>
    </row>
    <row r="745" spans="15:15" x14ac:dyDescent="0.25">
      <c r="O745" s="55" t="str">
        <f t="shared" si="16"/>
        <v>01</v>
      </c>
    </row>
    <row r="746" spans="15:15" x14ac:dyDescent="0.25">
      <c r="O746" s="55" t="str">
        <f t="shared" si="16"/>
        <v>01</v>
      </c>
    </row>
    <row r="747" spans="15:15" x14ac:dyDescent="0.25">
      <c r="O747" s="55" t="str">
        <f t="shared" si="16"/>
        <v>01</v>
      </c>
    </row>
    <row r="748" spans="15:15" x14ac:dyDescent="0.25">
      <c r="O748" s="55" t="str">
        <f t="shared" si="16"/>
        <v>01</v>
      </c>
    </row>
    <row r="749" spans="15:15" x14ac:dyDescent="0.25">
      <c r="O749" s="55" t="str">
        <f t="shared" si="16"/>
        <v>01</v>
      </c>
    </row>
    <row r="750" spans="15:15" x14ac:dyDescent="0.25">
      <c r="O750" s="55" t="str">
        <f t="shared" si="16"/>
        <v>01</v>
      </c>
    </row>
    <row r="751" spans="15:15" x14ac:dyDescent="0.25">
      <c r="O751" s="55" t="str">
        <f t="shared" si="16"/>
        <v>01</v>
      </c>
    </row>
    <row r="752" spans="15:15" x14ac:dyDescent="0.25">
      <c r="O752" s="55" t="str">
        <f t="shared" si="16"/>
        <v>01</v>
      </c>
    </row>
    <row r="753" spans="15:15" x14ac:dyDescent="0.25">
      <c r="O753" s="55" t="str">
        <f t="shared" si="16"/>
        <v>01</v>
      </c>
    </row>
    <row r="754" spans="15:15" x14ac:dyDescent="0.25">
      <c r="O754" s="55" t="str">
        <f t="shared" si="16"/>
        <v>01</v>
      </c>
    </row>
    <row r="755" spans="15:15" x14ac:dyDescent="0.25">
      <c r="O755" s="55" t="str">
        <f t="shared" si="16"/>
        <v>01</v>
      </c>
    </row>
    <row r="756" spans="15:15" x14ac:dyDescent="0.25">
      <c r="O756" s="55" t="str">
        <f t="shared" si="16"/>
        <v>01</v>
      </c>
    </row>
    <row r="757" spans="15:15" x14ac:dyDescent="0.25">
      <c r="O757" s="55" t="str">
        <f t="shared" si="16"/>
        <v>01</v>
      </c>
    </row>
    <row r="758" spans="15:15" x14ac:dyDescent="0.25">
      <c r="O758" s="55" t="str">
        <f t="shared" si="16"/>
        <v>01</v>
      </c>
    </row>
    <row r="759" spans="15:15" x14ac:dyDescent="0.25">
      <c r="O759" s="55" t="str">
        <f t="shared" si="16"/>
        <v>01</v>
      </c>
    </row>
    <row r="760" spans="15:15" x14ac:dyDescent="0.25">
      <c r="O760" s="55" t="str">
        <f t="shared" si="16"/>
        <v>01</v>
      </c>
    </row>
    <row r="761" spans="15:15" x14ac:dyDescent="0.25">
      <c r="O761" s="55" t="str">
        <f t="shared" si="16"/>
        <v>01</v>
      </c>
    </row>
    <row r="762" spans="15:15" x14ac:dyDescent="0.25">
      <c r="O762" s="55" t="str">
        <f t="shared" si="16"/>
        <v>01</v>
      </c>
    </row>
    <row r="763" spans="15:15" x14ac:dyDescent="0.25">
      <c r="O763" s="55" t="str">
        <f t="shared" si="16"/>
        <v>01</v>
      </c>
    </row>
    <row r="764" spans="15:15" x14ac:dyDescent="0.25">
      <c r="O764" s="55" t="str">
        <f t="shared" si="16"/>
        <v>01</v>
      </c>
    </row>
    <row r="765" spans="15:15" x14ac:dyDescent="0.25">
      <c r="O765" s="55" t="str">
        <f t="shared" si="16"/>
        <v>01</v>
      </c>
    </row>
    <row r="766" spans="15:15" x14ac:dyDescent="0.25">
      <c r="O766" s="55" t="str">
        <f t="shared" si="16"/>
        <v>01</v>
      </c>
    </row>
    <row r="767" spans="15:15" x14ac:dyDescent="0.25">
      <c r="O767" s="55" t="str">
        <f t="shared" si="16"/>
        <v>01</v>
      </c>
    </row>
    <row r="768" spans="15:15" x14ac:dyDescent="0.25">
      <c r="O768" s="55" t="str">
        <f t="shared" si="16"/>
        <v>01</v>
      </c>
    </row>
    <row r="769" spans="15:15" x14ac:dyDescent="0.25">
      <c r="O769" s="55" t="str">
        <f t="shared" si="16"/>
        <v>01</v>
      </c>
    </row>
    <row r="770" spans="15:15" x14ac:dyDescent="0.25">
      <c r="O770" s="55" t="str">
        <f t="shared" si="16"/>
        <v>01</v>
      </c>
    </row>
    <row r="771" spans="15:15" x14ac:dyDescent="0.25">
      <c r="O771" s="55" t="str">
        <f t="shared" si="16"/>
        <v>01</v>
      </c>
    </row>
    <row r="772" spans="15:15" x14ac:dyDescent="0.25">
      <c r="O772" s="55" t="str">
        <f t="shared" si="16"/>
        <v>01</v>
      </c>
    </row>
    <row r="773" spans="15:15" x14ac:dyDescent="0.25">
      <c r="O773" s="55" t="str">
        <f t="shared" si="16"/>
        <v>01</v>
      </c>
    </row>
    <row r="774" spans="15:15" x14ac:dyDescent="0.25">
      <c r="O774" s="55" t="str">
        <f t="shared" si="16"/>
        <v>01</v>
      </c>
    </row>
    <row r="775" spans="15:15" x14ac:dyDescent="0.25">
      <c r="O775" s="55" t="str">
        <f t="shared" si="16"/>
        <v>01</v>
      </c>
    </row>
    <row r="776" spans="15:15" x14ac:dyDescent="0.25">
      <c r="O776" s="55" t="str">
        <f t="shared" si="16"/>
        <v>01</v>
      </c>
    </row>
    <row r="777" spans="15:15" x14ac:dyDescent="0.25">
      <c r="O777" s="55" t="str">
        <f t="shared" si="16"/>
        <v>01</v>
      </c>
    </row>
    <row r="778" spans="15:15" x14ac:dyDescent="0.25">
      <c r="O778" s="55" t="str">
        <f t="shared" si="16"/>
        <v>01</v>
      </c>
    </row>
    <row r="779" spans="15:15" x14ac:dyDescent="0.25">
      <c r="O779" s="55" t="str">
        <f t="shared" si="16"/>
        <v>01</v>
      </c>
    </row>
    <row r="780" spans="15:15" x14ac:dyDescent="0.25">
      <c r="O780" s="55" t="str">
        <f t="shared" si="16"/>
        <v>01</v>
      </c>
    </row>
    <row r="781" spans="15:15" x14ac:dyDescent="0.25">
      <c r="O781" s="55" t="str">
        <f t="shared" si="16"/>
        <v>01</v>
      </c>
    </row>
    <row r="782" spans="15:15" x14ac:dyDescent="0.25">
      <c r="O782" s="55" t="str">
        <f t="shared" si="16"/>
        <v>01</v>
      </c>
    </row>
    <row r="783" spans="15:15" x14ac:dyDescent="0.25">
      <c r="O783" s="55" t="str">
        <f t="shared" si="16"/>
        <v>01</v>
      </c>
    </row>
    <row r="784" spans="15:15" x14ac:dyDescent="0.25">
      <c r="O784" s="55" t="str">
        <f t="shared" si="16"/>
        <v>01</v>
      </c>
    </row>
    <row r="785" spans="15:15" x14ac:dyDescent="0.25">
      <c r="O785" s="55" t="str">
        <f t="shared" si="16"/>
        <v>01</v>
      </c>
    </row>
    <row r="786" spans="15:15" x14ac:dyDescent="0.25">
      <c r="O786" s="55" t="str">
        <f t="shared" si="16"/>
        <v>01</v>
      </c>
    </row>
    <row r="787" spans="15:15" x14ac:dyDescent="0.25">
      <c r="O787" s="55" t="str">
        <f t="shared" si="16"/>
        <v>01</v>
      </c>
    </row>
    <row r="788" spans="15:15" x14ac:dyDescent="0.25">
      <c r="O788" s="55" t="str">
        <f t="shared" si="16"/>
        <v>01</v>
      </c>
    </row>
    <row r="789" spans="15:15" x14ac:dyDescent="0.25">
      <c r="O789" s="55" t="str">
        <f t="shared" si="16"/>
        <v>01</v>
      </c>
    </row>
    <row r="790" spans="15:15" x14ac:dyDescent="0.25">
      <c r="O790" s="55" t="str">
        <f t="shared" si="16"/>
        <v>01</v>
      </c>
    </row>
    <row r="791" spans="15:15" x14ac:dyDescent="0.25">
      <c r="O791" s="55" t="str">
        <f t="shared" si="16"/>
        <v>01</v>
      </c>
    </row>
    <row r="792" spans="15:15" x14ac:dyDescent="0.25">
      <c r="O792" s="55" t="str">
        <f t="shared" si="16"/>
        <v>01</v>
      </c>
    </row>
    <row r="793" spans="15:15" x14ac:dyDescent="0.25">
      <c r="O793" s="55" t="str">
        <f t="shared" si="16"/>
        <v>01</v>
      </c>
    </row>
    <row r="794" spans="15:15" x14ac:dyDescent="0.25">
      <c r="O794" s="55" t="str">
        <f t="shared" ref="O794:O857" si="17">+TEXT(H794,"MM")</f>
        <v>01</v>
      </c>
    </row>
    <row r="795" spans="15:15" x14ac:dyDescent="0.25">
      <c r="O795" s="55" t="str">
        <f t="shared" si="17"/>
        <v>01</v>
      </c>
    </row>
    <row r="796" spans="15:15" x14ac:dyDescent="0.25">
      <c r="O796" s="55" t="str">
        <f t="shared" si="17"/>
        <v>01</v>
      </c>
    </row>
    <row r="797" spans="15:15" x14ac:dyDescent="0.25">
      <c r="O797" s="55" t="str">
        <f t="shared" si="17"/>
        <v>01</v>
      </c>
    </row>
    <row r="798" spans="15:15" x14ac:dyDescent="0.25">
      <c r="O798" s="55" t="str">
        <f t="shared" si="17"/>
        <v>01</v>
      </c>
    </row>
    <row r="799" spans="15:15" x14ac:dyDescent="0.25">
      <c r="O799" s="55" t="str">
        <f t="shared" si="17"/>
        <v>01</v>
      </c>
    </row>
    <row r="800" spans="15:15" x14ac:dyDescent="0.25">
      <c r="O800" s="55" t="str">
        <f t="shared" si="17"/>
        <v>01</v>
      </c>
    </row>
    <row r="801" spans="15:15" x14ac:dyDescent="0.25">
      <c r="O801" s="55" t="str">
        <f t="shared" si="17"/>
        <v>01</v>
      </c>
    </row>
    <row r="802" spans="15:15" x14ac:dyDescent="0.25">
      <c r="O802" s="55" t="str">
        <f t="shared" si="17"/>
        <v>01</v>
      </c>
    </row>
    <row r="803" spans="15:15" x14ac:dyDescent="0.25">
      <c r="O803" s="55" t="str">
        <f t="shared" si="17"/>
        <v>01</v>
      </c>
    </row>
    <row r="804" spans="15:15" x14ac:dyDescent="0.25">
      <c r="O804" s="55" t="str">
        <f t="shared" si="17"/>
        <v>01</v>
      </c>
    </row>
    <row r="805" spans="15:15" x14ac:dyDescent="0.25">
      <c r="O805" s="55" t="str">
        <f t="shared" si="17"/>
        <v>01</v>
      </c>
    </row>
    <row r="806" spans="15:15" x14ac:dyDescent="0.25">
      <c r="O806" s="55" t="str">
        <f t="shared" si="17"/>
        <v>01</v>
      </c>
    </row>
    <row r="807" spans="15:15" x14ac:dyDescent="0.25">
      <c r="O807" s="55" t="str">
        <f t="shared" si="17"/>
        <v>01</v>
      </c>
    </row>
    <row r="808" spans="15:15" x14ac:dyDescent="0.25">
      <c r="O808" s="55" t="str">
        <f t="shared" si="17"/>
        <v>01</v>
      </c>
    </row>
    <row r="809" spans="15:15" x14ac:dyDescent="0.25">
      <c r="O809" s="55" t="str">
        <f t="shared" si="17"/>
        <v>01</v>
      </c>
    </row>
    <row r="810" spans="15:15" x14ac:dyDescent="0.25">
      <c r="O810" s="55" t="str">
        <f t="shared" si="17"/>
        <v>01</v>
      </c>
    </row>
    <row r="811" spans="15:15" x14ac:dyDescent="0.25">
      <c r="O811" s="55" t="str">
        <f t="shared" si="17"/>
        <v>01</v>
      </c>
    </row>
    <row r="812" spans="15:15" x14ac:dyDescent="0.25">
      <c r="O812" s="55" t="str">
        <f t="shared" si="17"/>
        <v>01</v>
      </c>
    </row>
    <row r="813" spans="15:15" x14ac:dyDescent="0.25">
      <c r="O813" s="55" t="str">
        <f t="shared" si="17"/>
        <v>01</v>
      </c>
    </row>
    <row r="814" spans="15:15" x14ac:dyDescent="0.25">
      <c r="O814" s="55" t="str">
        <f t="shared" si="17"/>
        <v>01</v>
      </c>
    </row>
    <row r="815" spans="15:15" x14ac:dyDescent="0.25">
      <c r="O815" s="55" t="str">
        <f t="shared" si="17"/>
        <v>01</v>
      </c>
    </row>
    <row r="816" spans="15:15" x14ac:dyDescent="0.25">
      <c r="O816" s="55" t="str">
        <f t="shared" si="17"/>
        <v>01</v>
      </c>
    </row>
    <row r="817" spans="15:15" x14ac:dyDescent="0.25">
      <c r="O817" s="55" t="str">
        <f t="shared" si="17"/>
        <v>01</v>
      </c>
    </row>
    <row r="818" spans="15:15" x14ac:dyDescent="0.25">
      <c r="O818" s="55" t="str">
        <f t="shared" si="17"/>
        <v>01</v>
      </c>
    </row>
    <row r="819" spans="15:15" x14ac:dyDescent="0.25">
      <c r="O819" s="55" t="str">
        <f t="shared" si="17"/>
        <v>01</v>
      </c>
    </row>
    <row r="820" spans="15:15" x14ac:dyDescent="0.25">
      <c r="O820" s="55" t="str">
        <f t="shared" si="17"/>
        <v>01</v>
      </c>
    </row>
    <row r="821" spans="15:15" x14ac:dyDescent="0.25">
      <c r="O821" s="55" t="str">
        <f t="shared" si="17"/>
        <v>01</v>
      </c>
    </row>
    <row r="822" spans="15:15" x14ac:dyDescent="0.25">
      <c r="O822" s="55" t="str">
        <f t="shared" si="17"/>
        <v>01</v>
      </c>
    </row>
    <row r="823" spans="15:15" x14ac:dyDescent="0.25">
      <c r="O823" s="55" t="str">
        <f t="shared" si="17"/>
        <v>01</v>
      </c>
    </row>
    <row r="824" spans="15:15" x14ac:dyDescent="0.25">
      <c r="O824" s="55" t="str">
        <f t="shared" si="17"/>
        <v>01</v>
      </c>
    </row>
    <row r="825" spans="15:15" x14ac:dyDescent="0.25">
      <c r="O825" s="55" t="str">
        <f t="shared" si="17"/>
        <v>01</v>
      </c>
    </row>
    <row r="826" spans="15:15" x14ac:dyDescent="0.25">
      <c r="O826" s="55" t="str">
        <f t="shared" si="17"/>
        <v>01</v>
      </c>
    </row>
    <row r="827" spans="15:15" x14ac:dyDescent="0.25">
      <c r="O827" s="55" t="str">
        <f t="shared" si="17"/>
        <v>01</v>
      </c>
    </row>
    <row r="828" spans="15:15" x14ac:dyDescent="0.25">
      <c r="O828" s="55" t="str">
        <f t="shared" si="17"/>
        <v>01</v>
      </c>
    </row>
    <row r="829" spans="15:15" x14ac:dyDescent="0.25">
      <c r="O829" s="55" t="str">
        <f t="shared" si="17"/>
        <v>01</v>
      </c>
    </row>
    <row r="830" spans="15:15" x14ac:dyDescent="0.25">
      <c r="O830" s="55" t="str">
        <f t="shared" si="17"/>
        <v>01</v>
      </c>
    </row>
    <row r="831" spans="15:15" x14ac:dyDescent="0.25">
      <c r="O831" s="55" t="str">
        <f t="shared" si="17"/>
        <v>01</v>
      </c>
    </row>
    <row r="832" spans="15:15" x14ac:dyDescent="0.25">
      <c r="O832" s="55" t="str">
        <f t="shared" si="17"/>
        <v>01</v>
      </c>
    </row>
    <row r="833" spans="15:15" x14ac:dyDescent="0.25">
      <c r="O833" s="55" t="str">
        <f t="shared" si="17"/>
        <v>01</v>
      </c>
    </row>
    <row r="834" spans="15:15" x14ac:dyDescent="0.25">
      <c r="O834" s="55" t="str">
        <f t="shared" si="17"/>
        <v>01</v>
      </c>
    </row>
    <row r="835" spans="15:15" x14ac:dyDescent="0.25">
      <c r="O835" s="55" t="str">
        <f t="shared" si="17"/>
        <v>01</v>
      </c>
    </row>
    <row r="836" spans="15:15" x14ac:dyDescent="0.25">
      <c r="O836" s="55" t="str">
        <f t="shared" si="17"/>
        <v>01</v>
      </c>
    </row>
    <row r="837" spans="15:15" x14ac:dyDescent="0.25">
      <c r="O837" s="55" t="str">
        <f t="shared" si="17"/>
        <v>01</v>
      </c>
    </row>
    <row r="838" spans="15:15" x14ac:dyDescent="0.25">
      <c r="O838" s="55" t="str">
        <f t="shared" si="17"/>
        <v>01</v>
      </c>
    </row>
    <row r="839" spans="15:15" x14ac:dyDescent="0.25">
      <c r="O839" s="55" t="str">
        <f t="shared" si="17"/>
        <v>01</v>
      </c>
    </row>
    <row r="840" spans="15:15" x14ac:dyDescent="0.25">
      <c r="O840" s="55" t="str">
        <f t="shared" si="17"/>
        <v>01</v>
      </c>
    </row>
    <row r="841" spans="15:15" x14ac:dyDescent="0.25">
      <c r="O841" s="55" t="str">
        <f t="shared" si="17"/>
        <v>01</v>
      </c>
    </row>
    <row r="842" spans="15:15" x14ac:dyDescent="0.25">
      <c r="O842" s="55" t="str">
        <f t="shared" si="17"/>
        <v>01</v>
      </c>
    </row>
    <row r="843" spans="15:15" x14ac:dyDescent="0.25">
      <c r="O843" s="55" t="str">
        <f t="shared" si="17"/>
        <v>01</v>
      </c>
    </row>
    <row r="844" spans="15:15" x14ac:dyDescent="0.25">
      <c r="O844" s="55" t="str">
        <f t="shared" si="17"/>
        <v>01</v>
      </c>
    </row>
    <row r="845" spans="15:15" x14ac:dyDescent="0.25">
      <c r="O845" s="55" t="str">
        <f t="shared" si="17"/>
        <v>01</v>
      </c>
    </row>
    <row r="846" spans="15:15" x14ac:dyDescent="0.25">
      <c r="O846" s="55" t="str">
        <f t="shared" si="17"/>
        <v>01</v>
      </c>
    </row>
    <row r="847" spans="15:15" x14ac:dyDescent="0.25">
      <c r="O847" s="55" t="str">
        <f t="shared" si="17"/>
        <v>01</v>
      </c>
    </row>
    <row r="848" spans="15:15" x14ac:dyDescent="0.25">
      <c r="O848" s="55" t="str">
        <f t="shared" si="17"/>
        <v>01</v>
      </c>
    </row>
    <row r="849" spans="15:15" x14ac:dyDescent="0.25">
      <c r="O849" s="55" t="str">
        <f t="shared" si="17"/>
        <v>01</v>
      </c>
    </row>
    <row r="850" spans="15:15" x14ac:dyDescent="0.25">
      <c r="O850" s="55" t="str">
        <f t="shared" si="17"/>
        <v>01</v>
      </c>
    </row>
    <row r="851" spans="15:15" x14ac:dyDescent="0.25">
      <c r="O851" s="55" t="str">
        <f t="shared" si="17"/>
        <v>01</v>
      </c>
    </row>
    <row r="852" spans="15:15" x14ac:dyDescent="0.25">
      <c r="O852" s="55" t="str">
        <f t="shared" si="17"/>
        <v>01</v>
      </c>
    </row>
    <row r="853" spans="15:15" x14ac:dyDescent="0.25">
      <c r="O853" s="55" t="str">
        <f t="shared" si="17"/>
        <v>01</v>
      </c>
    </row>
    <row r="854" spans="15:15" x14ac:dyDescent="0.25">
      <c r="O854" s="55" t="str">
        <f t="shared" si="17"/>
        <v>01</v>
      </c>
    </row>
    <row r="855" spans="15:15" x14ac:dyDescent="0.25">
      <c r="O855" s="55" t="str">
        <f t="shared" si="17"/>
        <v>01</v>
      </c>
    </row>
    <row r="856" spans="15:15" x14ac:dyDescent="0.25">
      <c r="O856" s="55" t="str">
        <f t="shared" si="17"/>
        <v>01</v>
      </c>
    </row>
    <row r="857" spans="15:15" x14ac:dyDescent="0.25">
      <c r="O857" s="55" t="str">
        <f t="shared" si="17"/>
        <v>01</v>
      </c>
    </row>
    <row r="858" spans="15:15" x14ac:dyDescent="0.25">
      <c r="O858" s="55" t="str">
        <f t="shared" ref="O858:O921" si="18">+TEXT(H858,"MM")</f>
        <v>01</v>
      </c>
    </row>
    <row r="859" spans="15:15" x14ac:dyDescent="0.25">
      <c r="O859" s="55" t="str">
        <f t="shared" si="18"/>
        <v>01</v>
      </c>
    </row>
    <row r="860" spans="15:15" x14ac:dyDescent="0.25">
      <c r="O860" s="55" t="str">
        <f t="shared" si="18"/>
        <v>01</v>
      </c>
    </row>
    <row r="861" spans="15:15" x14ac:dyDescent="0.25">
      <c r="O861" s="55" t="str">
        <f t="shared" si="18"/>
        <v>01</v>
      </c>
    </row>
    <row r="862" spans="15:15" x14ac:dyDescent="0.25">
      <c r="O862" s="55" t="str">
        <f t="shared" si="18"/>
        <v>01</v>
      </c>
    </row>
    <row r="863" spans="15:15" x14ac:dyDescent="0.25">
      <c r="O863" s="55" t="str">
        <f t="shared" si="18"/>
        <v>01</v>
      </c>
    </row>
    <row r="864" spans="15:15" x14ac:dyDescent="0.25">
      <c r="O864" s="55" t="str">
        <f t="shared" si="18"/>
        <v>01</v>
      </c>
    </row>
    <row r="865" spans="15:15" x14ac:dyDescent="0.25">
      <c r="O865" s="55" t="str">
        <f t="shared" si="18"/>
        <v>01</v>
      </c>
    </row>
    <row r="866" spans="15:15" x14ac:dyDescent="0.25">
      <c r="O866" s="55" t="str">
        <f t="shared" si="18"/>
        <v>01</v>
      </c>
    </row>
    <row r="867" spans="15:15" x14ac:dyDescent="0.25">
      <c r="O867" s="55" t="str">
        <f t="shared" si="18"/>
        <v>01</v>
      </c>
    </row>
    <row r="868" spans="15:15" x14ac:dyDescent="0.25">
      <c r="O868" s="55" t="str">
        <f t="shared" si="18"/>
        <v>01</v>
      </c>
    </row>
    <row r="869" spans="15:15" x14ac:dyDescent="0.25">
      <c r="O869" s="55" t="str">
        <f t="shared" si="18"/>
        <v>01</v>
      </c>
    </row>
    <row r="870" spans="15:15" x14ac:dyDescent="0.25">
      <c r="O870" s="55" t="str">
        <f t="shared" si="18"/>
        <v>01</v>
      </c>
    </row>
    <row r="871" spans="15:15" x14ac:dyDescent="0.25">
      <c r="O871" s="55" t="str">
        <f t="shared" si="18"/>
        <v>01</v>
      </c>
    </row>
    <row r="872" spans="15:15" x14ac:dyDescent="0.25">
      <c r="O872" s="55" t="str">
        <f t="shared" si="18"/>
        <v>01</v>
      </c>
    </row>
    <row r="873" spans="15:15" x14ac:dyDescent="0.25">
      <c r="O873" s="55" t="str">
        <f t="shared" si="18"/>
        <v>01</v>
      </c>
    </row>
    <row r="874" spans="15:15" x14ac:dyDescent="0.25">
      <c r="O874" s="55" t="str">
        <f t="shared" si="18"/>
        <v>01</v>
      </c>
    </row>
    <row r="875" spans="15:15" x14ac:dyDescent="0.25">
      <c r="O875" s="55" t="str">
        <f t="shared" si="18"/>
        <v>01</v>
      </c>
    </row>
    <row r="876" spans="15:15" x14ac:dyDescent="0.25">
      <c r="O876" s="55" t="str">
        <f t="shared" si="18"/>
        <v>01</v>
      </c>
    </row>
    <row r="877" spans="15:15" x14ac:dyDescent="0.25">
      <c r="O877" s="55" t="str">
        <f t="shared" si="18"/>
        <v>01</v>
      </c>
    </row>
    <row r="878" spans="15:15" x14ac:dyDescent="0.25">
      <c r="O878" s="55" t="str">
        <f t="shared" si="18"/>
        <v>01</v>
      </c>
    </row>
    <row r="879" spans="15:15" x14ac:dyDescent="0.25">
      <c r="O879" s="55" t="str">
        <f t="shared" si="18"/>
        <v>01</v>
      </c>
    </row>
    <row r="880" spans="15:15" x14ac:dyDescent="0.25">
      <c r="O880" s="55" t="str">
        <f t="shared" si="18"/>
        <v>01</v>
      </c>
    </row>
    <row r="881" spans="15:15" x14ac:dyDescent="0.25">
      <c r="O881" s="55" t="str">
        <f t="shared" si="18"/>
        <v>01</v>
      </c>
    </row>
    <row r="882" spans="15:15" x14ac:dyDescent="0.25">
      <c r="O882" s="55" t="str">
        <f t="shared" si="18"/>
        <v>01</v>
      </c>
    </row>
    <row r="883" spans="15:15" x14ac:dyDescent="0.25">
      <c r="O883" s="55" t="str">
        <f t="shared" si="18"/>
        <v>01</v>
      </c>
    </row>
    <row r="884" spans="15:15" x14ac:dyDescent="0.25">
      <c r="O884" s="55" t="str">
        <f t="shared" si="18"/>
        <v>01</v>
      </c>
    </row>
    <row r="885" spans="15:15" x14ac:dyDescent="0.25">
      <c r="O885" s="55" t="str">
        <f t="shared" si="18"/>
        <v>01</v>
      </c>
    </row>
    <row r="886" spans="15:15" x14ac:dyDescent="0.25">
      <c r="O886" s="55" t="str">
        <f t="shared" si="18"/>
        <v>01</v>
      </c>
    </row>
    <row r="887" spans="15:15" x14ac:dyDescent="0.25">
      <c r="O887" s="55" t="str">
        <f t="shared" si="18"/>
        <v>01</v>
      </c>
    </row>
    <row r="888" spans="15:15" x14ac:dyDescent="0.25">
      <c r="O888" s="55" t="str">
        <f t="shared" si="18"/>
        <v>01</v>
      </c>
    </row>
    <row r="889" spans="15:15" x14ac:dyDescent="0.25">
      <c r="O889" s="55" t="str">
        <f t="shared" si="18"/>
        <v>01</v>
      </c>
    </row>
    <row r="890" spans="15:15" x14ac:dyDescent="0.25">
      <c r="O890" s="55" t="str">
        <f t="shared" si="18"/>
        <v>01</v>
      </c>
    </row>
    <row r="891" spans="15:15" x14ac:dyDescent="0.25">
      <c r="O891" s="55" t="str">
        <f t="shared" si="18"/>
        <v>01</v>
      </c>
    </row>
    <row r="892" spans="15:15" x14ac:dyDescent="0.25">
      <c r="O892" s="55" t="str">
        <f t="shared" si="18"/>
        <v>01</v>
      </c>
    </row>
    <row r="893" spans="15:15" x14ac:dyDescent="0.25">
      <c r="O893" s="55" t="str">
        <f t="shared" si="18"/>
        <v>01</v>
      </c>
    </row>
    <row r="894" spans="15:15" x14ac:dyDescent="0.25">
      <c r="O894" s="55" t="str">
        <f t="shared" si="18"/>
        <v>01</v>
      </c>
    </row>
    <row r="895" spans="15:15" x14ac:dyDescent="0.25">
      <c r="O895" s="55" t="str">
        <f t="shared" si="18"/>
        <v>01</v>
      </c>
    </row>
    <row r="896" spans="15:15" x14ac:dyDescent="0.25">
      <c r="O896" s="55" t="str">
        <f t="shared" si="18"/>
        <v>01</v>
      </c>
    </row>
    <row r="897" spans="15:15" x14ac:dyDescent="0.25">
      <c r="O897" s="55" t="str">
        <f t="shared" si="18"/>
        <v>01</v>
      </c>
    </row>
    <row r="898" spans="15:15" x14ac:dyDescent="0.25">
      <c r="O898" s="55" t="str">
        <f t="shared" si="18"/>
        <v>01</v>
      </c>
    </row>
    <row r="899" spans="15:15" x14ac:dyDescent="0.25">
      <c r="O899" s="55" t="str">
        <f t="shared" si="18"/>
        <v>01</v>
      </c>
    </row>
    <row r="900" spans="15:15" x14ac:dyDescent="0.25">
      <c r="O900" s="55" t="str">
        <f t="shared" si="18"/>
        <v>01</v>
      </c>
    </row>
    <row r="901" spans="15:15" x14ac:dyDescent="0.25">
      <c r="O901" s="55" t="str">
        <f t="shared" si="18"/>
        <v>01</v>
      </c>
    </row>
    <row r="902" spans="15:15" x14ac:dyDescent="0.25">
      <c r="O902" s="55" t="str">
        <f t="shared" si="18"/>
        <v>01</v>
      </c>
    </row>
    <row r="903" spans="15:15" x14ac:dyDescent="0.25">
      <c r="O903" s="55" t="str">
        <f t="shared" si="18"/>
        <v>01</v>
      </c>
    </row>
    <row r="904" spans="15:15" x14ac:dyDescent="0.25">
      <c r="O904" s="55" t="str">
        <f t="shared" si="18"/>
        <v>01</v>
      </c>
    </row>
    <row r="905" spans="15:15" x14ac:dyDescent="0.25">
      <c r="O905" s="55" t="str">
        <f t="shared" si="18"/>
        <v>01</v>
      </c>
    </row>
    <row r="906" spans="15:15" x14ac:dyDescent="0.25">
      <c r="O906" s="55" t="str">
        <f t="shared" si="18"/>
        <v>01</v>
      </c>
    </row>
    <row r="907" spans="15:15" x14ac:dyDescent="0.25">
      <c r="O907" s="55" t="str">
        <f t="shared" si="18"/>
        <v>01</v>
      </c>
    </row>
    <row r="908" spans="15:15" x14ac:dyDescent="0.25">
      <c r="O908" s="55" t="str">
        <f t="shared" si="18"/>
        <v>01</v>
      </c>
    </row>
    <row r="909" spans="15:15" x14ac:dyDescent="0.25">
      <c r="O909" s="55" t="str">
        <f t="shared" si="18"/>
        <v>01</v>
      </c>
    </row>
    <row r="910" spans="15:15" x14ac:dyDescent="0.25">
      <c r="O910" s="55" t="str">
        <f t="shared" si="18"/>
        <v>01</v>
      </c>
    </row>
    <row r="911" spans="15:15" x14ac:dyDescent="0.25">
      <c r="O911" s="55" t="str">
        <f t="shared" si="18"/>
        <v>01</v>
      </c>
    </row>
    <row r="912" spans="15:15" x14ac:dyDescent="0.25">
      <c r="O912" s="55" t="str">
        <f t="shared" si="18"/>
        <v>01</v>
      </c>
    </row>
    <row r="913" spans="15:15" x14ac:dyDescent="0.25">
      <c r="O913" s="55" t="str">
        <f t="shared" si="18"/>
        <v>01</v>
      </c>
    </row>
    <row r="914" spans="15:15" x14ac:dyDescent="0.25">
      <c r="O914" s="55" t="str">
        <f t="shared" si="18"/>
        <v>01</v>
      </c>
    </row>
    <row r="915" spans="15:15" x14ac:dyDescent="0.25">
      <c r="O915" s="55" t="str">
        <f t="shared" si="18"/>
        <v>01</v>
      </c>
    </row>
    <row r="916" spans="15:15" x14ac:dyDescent="0.25">
      <c r="O916" s="55" t="str">
        <f t="shared" si="18"/>
        <v>01</v>
      </c>
    </row>
    <row r="917" spans="15:15" x14ac:dyDescent="0.25">
      <c r="O917" s="55" t="str">
        <f t="shared" si="18"/>
        <v>01</v>
      </c>
    </row>
    <row r="918" spans="15:15" x14ac:dyDescent="0.25">
      <c r="O918" s="55" t="str">
        <f t="shared" si="18"/>
        <v>01</v>
      </c>
    </row>
    <row r="919" spans="15:15" x14ac:dyDescent="0.25">
      <c r="O919" s="55" t="str">
        <f t="shared" si="18"/>
        <v>01</v>
      </c>
    </row>
    <row r="920" spans="15:15" x14ac:dyDescent="0.25">
      <c r="O920" s="55" t="str">
        <f t="shared" si="18"/>
        <v>01</v>
      </c>
    </row>
    <row r="921" spans="15:15" x14ac:dyDescent="0.25">
      <c r="O921" s="55" t="str">
        <f t="shared" si="18"/>
        <v>01</v>
      </c>
    </row>
    <row r="922" spans="15:15" x14ac:dyDescent="0.25">
      <c r="O922" s="55" t="str">
        <f t="shared" ref="O922:O985" si="19">+TEXT(H922,"MM")</f>
        <v>01</v>
      </c>
    </row>
    <row r="923" spans="15:15" x14ac:dyDescent="0.25">
      <c r="O923" s="55" t="str">
        <f t="shared" si="19"/>
        <v>01</v>
      </c>
    </row>
    <row r="924" spans="15:15" x14ac:dyDescent="0.25">
      <c r="O924" s="55" t="str">
        <f t="shared" si="19"/>
        <v>01</v>
      </c>
    </row>
    <row r="925" spans="15:15" x14ac:dyDescent="0.25">
      <c r="O925" s="55" t="str">
        <f t="shared" si="19"/>
        <v>01</v>
      </c>
    </row>
    <row r="926" spans="15:15" x14ac:dyDescent="0.25">
      <c r="O926" s="55" t="str">
        <f t="shared" si="19"/>
        <v>01</v>
      </c>
    </row>
    <row r="927" spans="15:15" x14ac:dyDescent="0.25">
      <c r="O927" s="55" t="str">
        <f t="shared" si="19"/>
        <v>01</v>
      </c>
    </row>
    <row r="928" spans="15:15" x14ac:dyDescent="0.25">
      <c r="O928" s="55" t="str">
        <f t="shared" si="19"/>
        <v>01</v>
      </c>
    </row>
    <row r="929" spans="15:15" x14ac:dyDescent="0.25">
      <c r="O929" s="55" t="str">
        <f t="shared" si="19"/>
        <v>01</v>
      </c>
    </row>
    <row r="930" spans="15:15" x14ac:dyDescent="0.25">
      <c r="O930" s="55" t="str">
        <f t="shared" si="19"/>
        <v>01</v>
      </c>
    </row>
    <row r="931" spans="15:15" x14ac:dyDescent="0.25">
      <c r="O931" s="55" t="str">
        <f t="shared" si="19"/>
        <v>01</v>
      </c>
    </row>
    <row r="932" spans="15:15" x14ac:dyDescent="0.25">
      <c r="O932" s="55" t="str">
        <f t="shared" si="19"/>
        <v>01</v>
      </c>
    </row>
    <row r="933" spans="15:15" x14ac:dyDescent="0.25">
      <c r="O933" s="55" t="str">
        <f t="shared" si="19"/>
        <v>01</v>
      </c>
    </row>
    <row r="934" spans="15:15" x14ac:dyDescent="0.25">
      <c r="O934" s="55" t="str">
        <f t="shared" si="19"/>
        <v>01</v>
      </c>
    </row>
    <row r="935" spans="15:15" x14ac:dyDescent="0.25">
      <c r="O935" s="55" t="str">
        <f t="shared" si="19"/>
        <v>01</v>
      </c>
    </row>
    <row r="936" spans="15:15" x14ac:dyDescent="0.25">
      <c r="O936" s="55" t="str">
        <f t="shared" si="19"/>
        <v>01</v>
      </c>
    </row>
    <row r="937" spans="15:15" x14ac:dyDescent="0.25">
      <c r="O937" s="55" t="str">
        <f t="shared" si="19"/>
        <v>01</v>
      </c>
    </row>
    <row r="938" spans="15:15" x14ac:dyDescent="0.25">
      <c r="O938" s="55" t="str">
        <f t="shared" si="19"/>
        <v>01</v>
      </c>
    </row>
    <row r="939" spans="15:15" x14ac:dyDescent="0.25">
      <c r="O939" s="55" t="str">
        <f t="shared" si="19"/>
        <v>01</v>
      </c>
    </row>
    <row r="940" spans="15:15" x14ac:dyDescent="0.25">
      <c r="O940" s="55" t="str">
        <f t="shared" si="19"/>
        <v>01</v>
      </c>
    </row>
    <row r="941" spans="15:15" x14ac:dyDescent="0.25">
      <c r="O941" s="55" t="str">
        <f t="shared" si="19"/>
        <v>01</v>
      </c>
    </row>
    <row r="942" spans="15:15" x14ac:dyDescent="0.25">
      <c r="O942" s="55" t="str">
        <f t="shared" si="19"/>
        <v>01</v>
      </c>
    </row>
    <row r="943" spans="15:15" x14ac:dyDescent="0.25">
      <c r="O943" s="55" t="str">
        <f t="shared" si="19"/>
        <v>01</v>
      </c>
    </row>
    <row r="944" spans="15:15" x14ac:dyDescent="0.25">
      <c r="O944" s="55" t="str">
        <f t="shared" si="19"/>
        <v>01</v>
      </c>
    </row>
    <row r="945" spans="15:15" x14ac:dyDescent="0.25">
      <c r="O945" s="55" t="str">
        <f t="shared" si="19"/>
        <v>01</v>
      </c>
    </row>
    <row r="946" spans="15:15" x14ac:dyDescent="0.25">
      <c r="O946" s="55" t="str">
        <f t="shared" si="19"/>
        <v>01</v>
      </c>
    </row>
    <row r="947" spans="15:15" x14ac:dyDescent="0.25">
      <c r="O947" s="55" t="str">
        <f t="shared" si="19"/>
        <v>01</v>
      </c>
    </row>
    <row r="948" spans="15:15" x14ac:dyDescent="0.25">
      <c r="O948" s="55" t="str">
        <f t="shared" si="19"/>
        <v>01</v>
      </c>
    </row>
    <row r="949" spans="15:15" x14ac:dyDescent="0.25">
      <c r="O949" s="55" t="str">
        <f t="shared" si="19"/>
        <v>01</v>
      </c>
    </row>
    <row r="950" spans="15:15" x14ac:dyDescent="0.25">
      <c r="O950" s="55" t="str">
        <f t="shared" si="19"/>
        <v>01</v>
      </c>
    </row>
    <row r="951" spans="15:15" x14ac:dyDescent="0.25">
      <c r="O951" s="55" t="str">
        <f t="shared" si="19"/>
        <v>01</v>
      </c>
    </row>
    <row r="952" spans="15:15" x14ac:dyDescent="0.25">
      <c r="O952" s="55" t="str">
        <f t="shared" si="19"/>
        <v>01</v>
      </c>
    </row>
    <row r="953" spans="15:15" x14ac:dyDescent="0.25">
      <c r="O953" s="55" t="str">
        <f t="shared" si="19"/>
        <v>01</v>
      </c>
    </row>
    <row r="954" spans="15:15" x14ac:dyDescent="0.25">
      <c r="O954" s="55" t="str">
        <f t="shared" si="19"/>
        <v>01</v>
      </c>
    </row>
    <row r="955" spans="15:15" x14ac:dyDescent="0.25">
      <c r="O955" s="55" t="str">
        <f t="shared" si="19"/>
        <v>01</v>
      </c>
    </row>
    <row r="956" spans="15:15" x14ac:dyDescent="0.25">
      <c r="O956" s="55" t="str">
        <f t="shared" si="19"/>
        <v>01</v>
      </c>
    </row>
    <row r="957" spans="15:15" x14ac:dyDescent="0.25">
      <c r="O957" s="55" t="str">
        <f t="shared" si="19"/>
        <v>01</v>
      </c>
    </row>
    <row r="958" spans="15:15" x14ac:dyDescent="0.25">
      <c r="O958" s="55" t="str">
        <f t="shared" si="19"/>
        <v>01</v>
      </c>
    </row>
    <row r="959" spans="15:15" x14ac:dyDescent="0.25">
      <c r="O959" s="55" t="str">
        <f t="shared" si="19"/>
        <v>01</v>
      </c>
    </row>
    <row r="960" spans="15:15" x14ac:dyDescent="0.25">
      <c r="O960" s="55" t="str">
        <f t="shared" si="19"/>
        <v>01</v>
      </c>
    </row>
    <row r="961" spans="15:15" x14ac:dyDescent="0.25">
      <c r="O961" s="55" t="str">
        <f t="shared" si="19"/>
        <v>01</v>
      </c>
    </row>
    <row r="962" spans="15:15" x14ac:dyDescent="0.25">
      <c r="O962" s="55" t="str">
        <f t="shared" si="19"/>
        <v>01</v>
      </c>
    </row>
    <row r="963" spans="15:15" x14ac:dyDescent="0.25">
      <c r="O963" s="55" t="str">
        <f t="shared" si="19"/>
        <v>01</v>
      </c>
    </row>
    <row r="964" spans="15:15" x14ac:dyDescent="0.25">
      <c r="O964" s="55" t="str">
        <f t="shared" si="19"/>
        <v>01</v>
      </c>
    </row>
    <row r="965" spans="15:15" x14ac:dyDescent="0.25">
      <c r="O965" s="55" t="str">
        <f t="shared" si="19"/>
        <v>01</v>
      </c>
    </row>
    <row r="966" spans="15:15" x14ac:dyDescent="0.25">
      <c r="O966" s="55" t="str">
        <f t="shared" si="19"/>
        <v>01</v>
      </c>
    </row>
    <row r="967" spans="15:15" x14ac:dyDescent="0.25">
      <c r="O967" s="55" t="str">
        <f t="shared" si="19"/>
        <v>01</v>
      </c>
    </row>
    <row r="968" spans="15:15" x14ac:dyDescent="0.25">
      <c r="O968" s="55" t="str">
        <f t="shared" si="19"/>
        <v>01</v>
      </c>
    </row>
    <row r="969" spans="15:15" x14ac:dyDescent="0.25">
      <c r="O969" s="55" t="str">
        <f t="shared" si="19"/>
        <v>01</v>
      </c>
    </row>
    <row r="970" spans="15:15" x14ac:dyDescent="0.25">
      <c r="O970" s="55" t="str">
        <f t="shared" si="19"/>
        <v>01</v>
      </c>
    </row>
    <row r="971" spans="15:15" x14ac:dyDescent="0.25">
      <c r="O971" s="55" t="str">
        <f t="shared" si="19"/>
        <v>01</v>
      </c>
    </row>
    <row r="972" spans="15:15" x14ac:dyDescent="0.25">
      <c r="O972" s="55" t="str">
        <f t="shared" si="19"/>
        <v>01</v>
      </c>
    </row>
    <row r="973" spans="15:15" x14ac:dyDescent="0.25">
      <c r="O973" s="55" t="str">
        <f t="shared" si="19"/>
        <v>01</v>
      </c>
    </row>
    <row r="974" spans="15:15" x14ac:dyDescent="0.25">
      <c r="O974" s="55" t="str">
        <f t="shared" si="19"/>
        <v>01</v>
      </c>
    </row>
    <row r="975" spans="15:15" x14ac:dyDescent="0.25">
      <c r="O975" s="55" t="str">
        <f t="shared" si="19"/>
        <v>01</v>
      </c>
    </row>
    <row r="976" spans="15:15" x14ac:dyDescent="0.25">
      <c r="O976" s="55" t="str">
        <f t="shared" si="19"/>
        <v>01</v>
      </c>
    </row>
    <row r="977" spans="15:15" x14ac:dyDescent="0.25">
      <c r="O977" s="55" t="str">
        <f t="shared" si="19"/>
        <v>01</v>
      </c>
    </row>
    <row r="978" spans="15:15" x14ac:dyDescent="0.25">
      <c r="O978" s="55" t="str">
        <f t="shared" si="19"/>
        <v>01</v>
      </c>
    </row>
    <row r="979" spans="15:15" x14ac:dyDescent="0.25">
      <c r="O979" s="55" t="str">
        <f t="shared" si="19"/>
        <v>01</v>
      </c>
    </row>
    <row r="980" spans="15:15" x14ac:dyDescent="0.25">
      <c r="O980" s="55" t="str">
        <f t="shared" si="19"/>
        <v>01</v>
      </c>
    </row>
    <row r="981" spans="15:15" x14ac:dyDescent="0.25">
      <c r="O981" s="55" t="str">
        <f t="shared" si="19"/>
        <v>01</v>
      </c>
    </row>
    <row r="982" spans="15:15" x14ac:dyDescent="0.25">
      <c r="O982" s="55" t="str">
        <f t="shared" si="19"/>
        <v>01</v>
      </c>
    </row>
    <row r="983" spans="15:15" x14ac:dyDescent="0.25">
      <c r="O983" s="55" t="str">
        <f t="shared" si="19"/>
        <v>01</v>
      </c>
    </row>
    <row r="984" spans="15:15" x14ac:dyDescent="0.25">
      <c r="O984" s="55" t="str">
        <f t="shared" si="19"/>
        <v>01</v>
      </c>
    </row>
    <row r="985" spans="15:15" x14ac:dyDescent="0.25">
      <c r="O985" s="55" t="str">
        <f t="shared" si="19"/>
        <v>01</v>
      </c>
    </row>
    <row r="986" spans="15:15" x14ac:dyDescent="0.25">
      <c r="O986" s="55" t="str">
        <f t="shared" ref="O986:O1049" si="20">+TEXT(H986,"MM")</f>
        <v>01</v>
      </c>
    </row>
    <row r="987" spans="15:15" x14ac:dyDescent="0.25">
      <c r="O987" s="55" t="str">
        <f t="shared" si="20"/>
        <v>01</v>
      </c>
    </row>
    <row r="988" spans="15:15" x14ac:dyDescent="0.25">
      <c r="O988" s="55" t="str">
        <f t="shared" si="20"/>
        <v>01</v>
      </c>
    </row>
    <row r="989" spans="15:15" x14ac:dyDescent="0.25">
      <c r="O989" s="55" t="str">
        <f t="shared" si="20"/>
        <v>01</v>
      </c>
    </row>
    <row r="990" spans="15:15" x14ac:dyDescent="0.25">
      <c r="O990" s="55" t="str">
        <f t="shared" si="20"/>
        <v>01</v>
      </c>
    </row>
    <row r="991" spans="15:15" x14ac:dyDescent="0.25">
      <c r="O991" s="55" t="str">
        <f t="shared" si="20"/>
        <v>01</v>
      </c>
    </row>
    <row r="992" spans="15:15" x14ac:dyDescent="0.25">
      <c r="O992" s="55" t="str">
        <f t="shared" si="20"/>
        <v>01</v>
      </c>
    </row>
    <row r="993" spans="15:15" x14ac:dyDescent="0.25">
      <c r="O993" s="55" t="str">
        <f t="shared" si="20"/>
        <v>01</v>
      </c>
    </row>
    <row r="994" spans="15:15" x14ac:dyDescent="0.25">
      <c r="O994" s="55" t="str">
        <f t="shared" si="20"/>
        <v>01</v>
      </c>
    </row>
    <row r="995" spans="15:15" x14ac:dyDescent="0.25">
      <c r="O995" s="55" t="str">
        <f t="shared" si="20"/>
        <v>01</v>
      </c>
    </row>
    <row r="996" spans="15:15" x14ac:dyDescent="0.25">
      <c r="O996" s="55" t="str">
        <f t="shared" si="20"/>
        <v>01</v>
      </c>
    </row>
    <row r="997" spans="15:15" x14ac:dyDescent="0.25">
      <c r="O997" s="55" t="str">
        <f t="shared" si="20"/>
        <v>01</v>
      </c>
    </row>
    <row r="998" spans="15:15" x14ac:dyDescent="0.25">
      <c r="O998" s="55" t="str">
        <f t="shared" si="20"/>
        <v>01</v>
      </c>
    </row>
    <row r="999" spans="15:15" x14ac:dyDescent="0.25">
      <c r="O999" s="55" t="str">
        <f t="shared" si="20"/>
        <v>01</v>
      </c>
    </row>
    <row r="1000" spans="15:15" x14ac:dyDescent="0.25">
      <c r="O1000" s="55" t="str">
        <f t="shared" si="20"/>
        <v>01</v>
      </c>
    </row>
    <row r="1001" spans="15:15" x14ac:dyDescent="0.25">
      <c r="O1001" s="55" t="str">
        <f t="shared" si="20"/>
        <v>01</v>
      </c>
    </row>
    <row r="1002" spans="15:15" x14ac:dyDescent="0.25">
      <c r="O1002" s="55" t="str">
        <f t="shared" si="20"/>
        <v>01</v>
      </c>
    </row>
    <row r="1003" spans="15:15" x14ac:dyDescent="0.25">
      <c r="O1003" s="55" t="str">
        <f t="shared" si="20"/>
        <v>01</v>
      </c>
    </row>
    <row r="1004" spans="15:15" x14ac:dyDescent="0.25">
      <c r="O1004" s="55" t="str">
        <f t="shared" si="20"/>
        <v>01</v>
      </c>
    </row>
    <row r="1005" spans="15:15" x14ac:dyDescent="0.25">
      <c r="O1005" s="55" t="str">
        <f t="shared" si="20"/>
        <v>01</v>
      </c>
    </row>
    <row r="1006" spans="15:15" x14ac:dyDescent="0.25">
      <c r="O1006" s="55" t="str">
        <f t="shared" si="20"/>
        <v>01</v>
      </c>
    </row>
    <row r="1007" spans="15:15" x14ac:dyDescent="0.25">
      <c r="O1007" s="55" t="str">
        <f t="shared" si="20"/>
        <v>01</v>
      </c>
    </row>
    <row r="1008" spans="15:15" x14ac:dyDescent="0.25">
      <c r="O1008" s="55" t="str">
        <f t="shared" si="20"/>
        <v>01</v>
      </c>
    </row>
    <row r="1009" spans="15:15" x14ac:dyDescent="0.25">
      <c r="O1009" s="55" t="str">
        <f t="shared" si="20"/>
        <v>01</v>
      </c>
    </row>
    <row r="1010" spans="15:15" x14ac:dyDescent="0.25">
      <c r="O1010" s="55" t="str">
        <f t="shared" si="20"/>
        <v>01</v>
      </c>
    </row>
    <row r="1011" spans="15:15" x14ac:dyDescent="0.25">
      <c r="O1011" s="55" t="str">
        <f t="shared" si="20"/>
        <v>01</v>
      </c>
    </row>
    <row r="1012" spans="15:15" x14ac:dyDescent="0.25">
      <c r="O1012" s="55" t="str">
        <f t="shared" si="20"/>
        <v>01</v>
      </c>
    </row>
    <row r="1013" spans="15:15" x14ac:dyDescent="0.25">
      <c r="O1013" s="55" t="str">
        <f t="shared" si="20"/>
        <v>01</v>
      </c>
    </row>
    <row r="1014" spans="15:15" x14ac:dyDescent="0.25">
      <c r="O1014" s="55" t="str">
        <f t="shared" si="20"/>
        <v>01</v>
      </c>
    </row>
    <row r="1015" spans="15:15" x14ac:dyDescent="0.25">
      <c r="O1015" s="55" t="str">
        <f t="shared" si="20"/>
        <v>01</v>
      </c>
    </row>
    <row r="1016" spans="15:15" x14ac:dyDescent="0.25">
      <c r="O1016" s="55" t="str">
        <f t="shared" si="20"/>
        <v>01</v>
      </c>
    </row>
    <row r="1017" spans="15:15" x14ac:dyDescent="0.25">
      <c r="O1017" s="55" t="str">
        <f t="shared" si="20"/>
        <v>01</v>
      </c>
    </row>
    <row r="1018" spans="15:15" x14ac:dyDescent="0.25">
      <c r="O1018" s="55" t="str">
        <f t="shared" si="20"/>
        <v>01</v>
      </c>
    </row>
    <row r="1019" spans="15:15" x14ac:dyDescent="0.25">
      <c r="O1019" s="55" t="str">
        <f t="shared" si="20"/>
        <v>01</v>
      </c>
    </row>
    <row r="1020" spans="15:15" x14ac:dyDescent="0.25">
      <c r="O1020" s="55" t="str">
        <f t="shared" si="20"/>
        <v>01</v>
      </c>
    </row>
    <row r="1021" spans="15:15" x14ac:dyDescent="0.25">
      <c r="O1021" s="55" t="str">
        <f t="shared" si="20"/>
        <v>01</v>
      </c>
    </row>
    <row r="1022" spans="15:15" x14ac:dyDescent="0.25">
      <c r="O1022" s="55" t="str">
        <f t="shared" si="20"/>
        <v>01</v>
      </c>
    </row>
    <row r="1023" spans="15:15" x14ac:dyDescent="0.25">
      <c r="O1023" s="55" t="str">
        <f t="shared" si="20"/>
        <v>01</v>
      </c>
    </row>
    <row r="1024" spans="15:15" x14ac:dyDescent="0.25">
      <c r="O1024" s="55" t="str">
        <f t="shared" si="20"/>
        <v>01</v>
      </c>
    </row>
    <row r="1025" spans="15:15" x14ac:dyDescent="0.25">
      <c r="O1025" s="55" t="str">
        <f t="shared" si="20"/>
        <v>01</v>
      </c>
    </row>
    <row r="1026" spans="15:15" x14ac:dyDescent="0.25">
      <c r="O1026" s="55" t="str">
        <f t="shared" si="20"/>
        <v>01</v>
      </c>
    </row>
    <row r="1027" spans="15:15" x14ac:dyDescent="0.25">
      <c r="O1027" s="55" t="str">
        <f t="shared" si="20"/>
        <v>01</v>
      </c>
    </row>
    <row r="1028" spans="15:15" x14ac:dyDescent="0.25">
      <c r="O1028" s="55" t="str">
        <f t="shared" si="20"/>
        <v>01</v>
      </c>
    </row>
    <row r="1029" spans="15:15" x14ac:dyDescent="0.25">
      <c r="O1029" s="55" t="str">
        <f t="shared" si="20"/>
        <v>01</v>
      </c>
    </row>
    <row r="1030" spans="15:15" x14ac:dyDescent="0.25">
      <c r="O1030" s="55" t="str">
        <f t="shared" si="20"/>
        <v>01</v>
      </c>
    </row>
    <row r="1031" spans="15:15" x14ac:dyDescent="0.25">
      <c r="O1031" s="55" t="str">
        <f t="shared" si="20"/>
        <v>01</v>
      </c>
    </row>
    <row r="1032" spans="15:15" x14ac:dyDescent="0.25">
      <c r="O1032" s="55" t="str">
        <f t="shared" si="20"/>
        <v>01</v>
      </c>
    </row>
    <row r="1033" spans="15:15" x14ac:dyDescent="0.25">
      <c r="O1033" s="55" t="str">
        <f t="shared" si="20"/>
        <v>01</v>
      </c>
    </row>
    <row r="1034" spans="15:15" x14ac:dyDescent="0.25">
      <c r="O1034" s="55" t="str">
        <f t="shared" si="20"/>
        <v>01</v>
      </c>
    </row>
    <row r="1035" spans="15:15" x14ac:dyDescent="0.25">
      <c r="O1035" s="55" t="str">
        <f t="shared" si="20"/>
        <v>01</v>
      </c>
    </row>
    <row r="1036" spans="15:15" x14ac:dyDescent="0.25">
      <c r="O1036" s="55" t="str">
        <f t="shared" si="20"/>
        <v>01</v>
      </c>
    </row>
    <row r="1037" spans="15:15" x14ac:dyDescent="0.25">
      <c r="O1037" s="55" t="str">
        <f t="shared" si="20"/>
        <v>01</v>
      </c>
    </row>
    <row r="1038" spans="15:15" x14ac:dyDescent="0.25">
      <c r="O1038" s="55" t="str">
        <f t="shared" si="20"/>
        <v>01</v>
      </c>
    </row>
    <row r="1039" spans="15:15" x14ac:dyDescent="0.25">
      <c r="O1039" s="55" t="str">
        <f t="shared" si="20"/>
        <v>01</v>
      </c>
    </row>
    <row r="1040" spans="15:15" x14ac:dyDescent="0.25">
      <c r="O1040" s="55" t="str">
        <f t="shared" si="20"/>
        <v>01</v>
      </c>
    </row>
    <row r="1041" spans="15:15" x14ac:dyDescent="0.25">
      <c r="O1041" s="55" t="str">
        <f t="shared" si="20"/>
        <v>01</v>
      </c>
    </row>
    <row r="1042" spans="15:15" x14ac:dyDescent="0.25">
      <c r="O1042" s="55" t="str">
        <f t="shared" si="20"/>
        <v>01</v>
      </c>
    </row>
    <row r="1043" spans="15:15" x14ac:dyDescent="0.25">
      <c r="O1043" s="55" t="str">
        <f t="shared" si="20"/>
        <v>01</v>
      </c>
    </row>
    <row r="1044" spans="15:15" x14ac:dyDescent="0.25">
      <c r="O1044" s="55" t="str">
        <f t="shared" si="20"/>
        <v>01</v>
      </c>
    </row>
    <row r="1045" spans="15:15" x14ac:dyDescent="0.25">
      <c r="O1045" s="55" t="str">
        <f t="shared" si="20"/>
        <v>01</v>
      </c>
    </row>
    <row r="1046" spans="15:15" x14ac:dyDescent="0.25">
      <c r="O1046" s="55" t="str">
        <f t="shared" si="20"/>
        <v>01</v>
      </c>
    </row>
    <row r="1047" spans="15:15" x14ac:dyDescent="0.25">
      <c r="O1047" s="55" t="str">
        <f t="shared" si="20"/>
        <v>01</v>
      </c>
    </row>
    <row r="1048" spans="15:15" x14ac:dyDescent="0.25">
      <c r="O1048" s="55" t="str">
        <f t="shared" si="20"/>
        <v>01</v>
      </c>
    </row>
    <row r="1049" spans="15:15" x14ac:dyDescent="0.25">
      <c r="O1049" s="55" t="str">
        <f t="shared" si="20"/>
        <v>01</v>
      </c>
    </row>
    <row r="1050" spans="15:15" x14ac:dyDescent="0.25">
      <c r="O1050" s="55" t="str">
        <f t="shared" ref="O1050:O1113" si="21">+TEXT(H1050,"MM")</f>
        <v>01</v>
      </c>
    </row>
    <row r="1051" spans="15:15" x14ac:dyDescent="0.25">
      <c r="O1051" s="55" t="str">
        <f t="shared" si="21"/>
        <v>01</v>
      </c>
    </row>
    <row r="1052" spans="15:15" x14ac:dyDescent="0.25">
      <c r="O1052" s="55" t="str">
        <f t="shared" si="21"/>
        <v>01</v>
      </c>
    </row>
    <row r="1053" spans="15:15" x14ac:dyDescent="0.25">
      <c r="O1053" s="55" t="str">
        <f t="shared" si="21"/>
        <v>01</v>
      </c>
    </row>
    <row r="1054" spans="15:15" x14ac:dyDescent="0.25">
      <c r="O1054" s="55" t="str">
        <f t="shared" si="21"/>
        <v>01</v>
      </c>
    </row>
    <row r="1055" spans="15:15" x14ac:dyDescent="0.25">
      <c r="O1055" s="55" t="str">
        <f t="shared" si="21"/>
        <v>01</v>
      </c>
    </row>
    <row r="1056" spans="15:15" x14ac:dyDescent="0.25">
      <c r="O1056" s="55" t="str">
        <f t="shared" si="21"/>
        <v>01</v>
      </c>
    </row>
    <row r="1057" spans="15:15" x14ac:dyDescent="0.25">
      <c r="O1057" s="55" t="str">
        <f t="shared" si="21"/>
        <v>01</v>
      </c>
    </row>
    <row r="1058" spans="15:15" x14ac:dyDescent="0.25">
      <c r="O1058" s="55" t="str">
        <f t="shared" si="21"/>
        <v>01</v>
      </c>
    </row>
    <row r="1059" spans="15:15" x14ac:dyDescent="0.25">
      <c r="O1059" s="55" t="str">
        <f t="shared" si="21"/>
        <v>01</v>
      </c>
    </row>
    <row r="1060" spans="15:15" x14ac:dyDescent="0.25">
      <c r="O1060" s="55" t="str">
        <f t="shared" si="21"/>
        <v>01</v>
      </c>
    </row>
    <row r="1061" spans="15:15" x14ac:dyDescent="0.25">
      <c r="O1061" s="55" t="str">
        <f t="shared" si="21"/>
        <v>01</v>
      </c>
    </row>
    <row r="1062" spans="15:15" x14ac:dyDescent="0.25">
      <c r="O1062" s="55" t="str">
        <f t="shared" si="21"/>
        <v>01</v>
      </c>
    </row>
    <row r="1063" spans="15:15" x14ac:dyDescent="0.25">
      <c r="O1063" s="55" t="str">
        <f t="shared" si="21"/>
        <v>01</v>
      </c>
    </row>
    <row r="1064" spans="15:15" x14ac:dyDescent="0.25">
      <c r="O1064" s="55" t="str">
        <f t="shared" si="21"/>
        <v>01</v>
      </c>
    </row>
    <row r="1065" spans="15:15" x14ac:dyDescent="0.25">
      <c r="O1065" s="55" t="str">
        <f t="shared" si="21"/>
        <v>01</v>
      </c>
    </row>
    <row r="1066" spans="15:15" x14ac:dyDescent="0.25">
      <c r="O1066" s="55" t="str">
        <f t="shared" si="21"/>
        <v>01</v>
      </c>
    </row>
    <row r="1067" spans="15:15" x14ac:dyDescent="0.25">
      <c r="O1067" s="55" t="str">
        <f t="shared" si="21"/>
        <v>01</v>
      </c>
    </row>
    <row r="1068" spans="15:15" x14ac:dyDescent="0.25">
      <c r="O1068" s="55" t="str">
        <f t="shared" si="21"/>
        <v>01</v>
      </c>
    </row>
    <row r="1069" spans="15:15" x14ac:dyDescent="0.25">
      <c r="O1069" s="55" t="str">
        <f t="shared" si="21"/>
        <v>01</v>
      </c>
    </row>
    <row r="1070" spans="15:15" x14ac:dyDescent="0.25">
      <c r="O1070" s="55" t="str">
        <f t="shared" si="21"/>
        <v>01</v>
      </c>
    </row>
    <row r="1071" spans="15:15" x14ac:dyDescent="0.25">
      <c r="O1071" s="55" t="str">
        <f t="shared" si="21"/>
        <v>01</v>
      </c>
    </row>
    <row r="1072" spans="15:15" x14ac:dyDescent="0.25">
      <c r="O1072" s="55" t="str">
        <f t="shared" si="21"/>
        <v>01</v>
      </c>
    </row>
    <row r="1073" spans="15:15" x14ac:dyDescent="0.25">
      <c r="O1073" s="55" t="str">
        <f t="shared" si="21"/>
        <v>01</v>
      </c>
    </row>
    <row r="1074" spans="15:15" x14ac:dyDescent="0.25">
      <c r="O1074" s="55" t="str">
        <f t="shared" si="21"/>
        <v>01</v>
      </c>
    </row>
    <row r="1075" spans="15:15" x14ac:dyDescent="0.25">
      <c r="O1075" s="55" t="str">
        <f t="shared" si="21"/>
        <v>01</v>
      </c>
    </row>
    <row r="1076" spans="15:15" x14ac:dyDescent="0.25">
      <c r="O1076" s="55" t="str">
        <f t="shared" si="21"/>
        <v>01</v>
      </c>
    </row>
    <row r="1077" spans="15:15" x14ac:dyDescent="0.25">
      <c r="O1077" s="55" t="str">
        <f t="shared" si="21"/>
        <v>01</v>
      </c>
    </row>
    <row r="1078" spans="15:15" x14ac:dyDescent="0.25">
      <c r="O1078" s="55" t="str">
        <f t="shared" si="21"/>
        <v>01</v>
      </c>
    </row>
    <row r="1079" spans="15:15" x14ac:dyDescent="0.25">
      <c r="O1079" s="55" t="str">
        <f t="shared" si="21"/>
        <v>01</v>
      </c>
    </row>
    <row r="1080" spans="15:15" x14ac:dyDescent="0.25">
      <c r="O1080" s="55" t="str">
        <f t="shared" si="21"/>
        <v>01</v>
      </c>
    </row>
    <row r="1081" spans="15:15" x14ac:dyDescent="0.25">
      <c r="O1081" s="55" t="str">
        <f t="shared" si="21"/>
        <v>01</v>
      </c>
    </row>
    <row r="1082" spans="15:15" x14ac:dyDescent="0.25">
      <c r="O1082" s="55" t="str">
        <f t="shared" si="21"/>
        <v>01</v>
      </c>
    </row>
    <row r="1083" spans="15:15" x14ac:dyDescent="0.25">
      <c r="O1083" s="55" t="str">
        <f t="shared" si="21"/>
        <v>01</v>
      </c>
    </row>
    <row r="1084" spans="15:15" x14ac:dyDescent="0.25">
      <c r="O1084" s="55" t="str">
        <f t="shared" si="21"/>
        <v>01</v>
      </c>
    </row>
    <row r="1085" spans="15:15" x14ac:dyDescent="0.25">
      <c r="O1085" s="55" t="str">
        <f t="shared" si="21"/>
        <v>01</v>
      </c>
    </row>
    <row r="1086" spans="15:15" x14ac:dyDescent="0.25">
      <c r="O1086" s="55" t="str">
        <f t="shared" si="21"/>
        <v>01</v>
      </c>
    </row>
    <row r="1087" spans="15:15" x14ac:dyDescent="0.25">
      <c r="O1087" s="55" t="str">
        <f t="shared" si="21"/>
        <v>01</v>
      </c>
    </row>
    <row r="1088" spans="15:15" x14ac:dyDescent="0.25">
      <c r="O1088" s="55" t="str">
        <f t="shared" si="21"/>
        <v>01</v>
      </c>
    </row>
    <row r="1089" spans="15:15" x14ac:dyDescent="0.25">
      <c r="O1089" s="55" t="str">
        <f t="shared" si="21"/>
        <v>01</v>
      </c>
    </row>
    <row r="1090" spans="15:15" x14ac:dyDescent="0.25">
      <c r="O1090" s="55" t="str">
        <f t="shared" si="21"/>
        <v>01</v>
      </c>
    </row>
    <row r="1091" spans="15:15" x14ac:dyDescent="0.25">
      <c r="O1091" s="55" t="str">
        <f t="shared" si="21"/>
        <v>01</v>
      </c>
    </row>
    <row r="1092" spans="15:15" x14ac:dyDescent="0.25">
      <c r="O1092" s="55" t="str">
        <f t="shared" si="21"/>
        <v>01</v>
      </c>
    </row>
    <row r="1093" spans="15:15" x14ac:dyDescent="0.25">
      <c r="O1093" s="55" t="str">
        <f t="shared" si="21"/>
        <v>01</v>
      </c>
    </row>
    <row r="1094" spans="15:15" x14ac:dyDescent="0.25">
      <c r="O1094" s="55" t="str">
        <f t="shared" si="21"/>
        <v>01</v>
      </c>
    </row>
    <row r="1095" spans="15:15" x14ac:dyDescent="0.25">
      <c r="O1095" s="55" t="str">
        <f t="shared" si="21"/>
        <v>01</v>
      </c>
    </row>
    <row r="1096" spans="15:15" x14ac:dyDescent="0.25">
      <c r="O1096" s="55" t="str">
        <f t="shared" si="21"/>
        <v>01</v>
      </c>
    </row>
    <row r="1097" spans="15:15" x14ac:dyDescent="0.25">
      <c r="O1097" s="55" t="str">
        <f t="shared" si="21"/>
        <v>01</v>
      </c>
    </row>
    <row r="1098" spans="15:15" x14ac:dyDescent="0.25">
      <c r="O1098" s="55" t="str">
        <f t="shared" si="21"/>
        <v>01</v>
      </c>
    </row>
    <row r="1099" spans="15:15" x14ac:dyDescent="0.25">
      <c r="O1099" s="55" t="str">
        <f t="shared" si="21"/>
        <v>01</v>
      </c>
    </row>
    <row r="1100" spans="15:15" x14ac:dyDescent="0.25">
      <c r="O1100" s="55" t="str">
        <f t="shared" si="21"/>
        <v>01</v>
      </c>
    </row>
    <row r="1101" spans="15:15" x14ac:dyDescent="0.25">
      <c r="O1101" s="55" t="str">
        <f t="shared" si="21"/>
        <v>01</v>
      </c>
    </row>
    <row r="1102" spans="15:15" x14ac:dyDescent="0.25">
      <c r="O1102" s="55" t="str">
        <f t="shared" si="21"/>
        <v>01</v>
      </c>
    </row>
    <row r="1103" spans="15:15" x14ac:dyDescent="0.25">
      <c r="O1103" s="55" t="str">
        <f t="shared" si="21"/>
        <v>01</v>
      </c>
    </row>
    <row r="1104" spans="15:15" x14ac:dyDescent="0.25">
      <c r="O1104" s="55" t="str">
        <f t="shared" si="21"/>
        <v>01</v>
      </c>
    </row>
    <row r="1105" spans="15:15" x14ac:dyDescent="0.25">
      <c r="O1105" s="55" t="str">
        <f t="shared" si="21"/>
        <v>01</v>
      </c>
    </row>
    <row r="1106" spans="15:15" x14ac:dyDescent="0.25">
      <c r="O1106" s="55" t="str">
        <f t="shared" si="21"/>
        <v>01</v>
      </c>
    </row>
    <row r="1107" spans="15:15" x14ac:dyDescent="0.25">
      <c r="O1107" s="55" t="str">
        <f t="shared" si="21"/>
        <v>01</v>
      </c>
    </row>
    <row r="1108" spans="15:15" x14ac:dyDescent="0.25">
      <c r="O1108" s="55" t="str">
        <f t="shared" si="21"/>
        <v>01</v>
      </c>
    </row>
    <row r="1109" spans="15:15" x14ac:dyDescent="0.25">
      <c r="O1109" s="55" t="str">
        <f t="shared" si="21"/>
        <v>01</v>
      </c>
    </row>
    <row r="1110" spans="15:15" x14ac:dyDescent="0.25">
      <c r="O1110" s="55" t="str">
        <f t="shared" si="21"/>
        <v>01</v>
      </c>
    </row>
    <row r="1111" spans="15:15" x14ac:dyDescent="0.25">
      <c r="O1111" s="55" t="str">
        <f t="shared" si="21"/>
        <v>01</v>
      </c>
    </row>
    <row r="1112" spans="15:15" x14ac:dyDescent="0.25">
      <c r="O1112" s="55" t="str">
        <f t="shared" si="21"/>
        <v>01</v>
      </c>
    </row>
    <row r="1113" spans="15:15" x14ac:dyDescent="0.25">
      <c r="O1113" s="55" t="str">
        <f t="shared" si="21"/>
        <v>01</v>
      </c>
    </row>
    <row r="1114" spans="15:15" x14ac:dyDescent="0.25">
      <c r="O1114" s="55" t="str">
        <f t="shared" ref="O1114:O1177" si="22">+TEXT(H1114,"MM")</f>
        <v>01</v>
      </c>
    </row>
    <row r="1115" spans="15:15" x14ac:dyDescent="0.25">
      <c r="O1115" s="55" t="str">
        <f t="shared" si="22"/>
        <v>01</v>
      </c>
    </row>
    <row r="1116" spans="15:15" x14ac:dyDescent="0.25">
      <c r="O1116" s="55" t="str">
        <f t="shared" si="22"/>
        <v>01</v>
      </c>
    </row>
    <row r="1117" spans="15:15" x14ac:dyDescent="0.25">
      <c r="O1117" s="55" t="str">
        <f t="shared" si="22"/>
        <v>01</v>
      </c>
    </row>
    <row r="1118" spans="15:15" x14ac:dyDescent="0.25">
      <c r="O1118" s="55" t="str">
        <f t="shared" si="22"/>
        <v>01</v>
      </c>
    </row>
    <row r="1119" spans="15:15" x14ac:dyDescent="0.25">
      <c r="O1119" s="55" t="str">
        <f t="shared" si="22"/>
        <v>01</v>
      </c>
    </row>
    <row r="1120" spans="15:15" x14ac:dyDescent="0.25">
      <c r="O1120" s="55" t="str">
        <f t="shared" si="22"/>
        <v>01</v>
      </c>
    </row>
    <row r="1121" spans="15:15" x14ac:dyDescent="0.25">
      <c r="O1121" s="55" t="str">
        <f t="shared" si="22"/>
        <v>01</v>
      </c>
    </row>
    <row r="1122" spans="15:15" x14ac:dyDescent="0.25">
      <c r="O1122" s="55" t="str">
        <f t="shared" si="22"/>
        <v>01</v>
      </c>
    </row>
    <row r="1123" spans="15:15" x14ac:dyDescent="0.25">
      <c r="O1123" s="55" t="str">
        <f t="shared" si="22"/>
        <v>01</v>
      </c>
    </row>
    <row r="1124" spans="15:15" x14ac:dyDescent="0.25">
      <c r="O1124" s="55" t="str">
        <f t="shared" si="22"/>
        <v>01</v>
      </c>
    </row>
    <row r="1125" spans="15:15" x14ac:dyDescent="0.25">
      <c r="O1125" s="55" t="str">
        <f t="shared" si="22"/>
        <v>01</v>
      </c>
    </row>
    <row r="1126" spans="15:15" x14ac:dyDescent="0.25">
      <c r="O1126" s="55" t="str">
        <f t="shared" si="22"/>
        <v>01</v>
      </c>
    </row>
    <row r="1127" spans="15:15" x14ac:dyDescent="0.25">
      <c r="O1127" s="55" t="str">
        <f t="shared" si="22"/>
        <v>01</v>
      </c>
    </row>
    <row r="1128" spans="15:15" x14ac:dyDescent="0.25">
      <c r="O1128" s="55" t="str">
        <f t="shared" si="22"/>
        <v>01</v>
      </c>
    </row>
    <row r="1129" spans="15:15" x14ac:dyDescent="0.25">
      <c r="O1129" s="55" t="str">
        <f t="shared" si="22"/>
        <v>01</v>
      </c>
    </row>
    <row r="1130" spans="15:15" x14ac:dyDescent="0.25">
      <c r="O1130" s="55" t="str">
        <f t="shared" si="22"/>
        <v>01</v>
      </c>
    </row>
    <row r="1131" spans="15:15" x14ac:dyDescent="0.25">
      <c r="O1131" s="55" t="str">
        <f t="shared" si="22"/>
        <v>01</v>
      </c>
    </row>
    <row r="1132" spans="15:15" x14ac:dyDescent="0.25">
      <c r="O1132" s="55" t="str">
        <f t="shared" si="22"/>
        <v>01</v>
      </c>
    </row>
    <row r="1133" spans="15:15" x14ac:dyDescent="0.25">
      <c r="O1133" s="55" t="str">
        <f t="shared" si="22"/>
        <v>01</v>
      </c>
    </row>
    <row r="1134" spans="15:15" x14ac:dyDescent="0.25">
      <c r="O1134" s="55" t="str">
        <f t="shared" si="22"/>
        <v>01</v>
      </c>
    </row>
    <row r="1135" spans="15:15" x14ac:dyDescent="0.25">
      <c r="O1135" s="55" t="str">
        <f t="shared" si="22"/>
        <v>01</v>
      </c>
    </row>
    <row r="1136" spans="15:15" x14ac:dyDescent="0.25">
      <c r="O1136" s="55" t="str">
        <f t="shared" si="22"/>
        <v>01</v>
      </c>
    </row>
    <row r="1137" spans="15:15" x14ac:dyDescent="0.25">
      <c r="O1137" s="55" t="str">
        <f t="shared" si="22"/>
        <v>01</v>
      </c>
    </row>
    <row r="1138" spans="15:15" x14ac:dyDescent="0.25">
      <c r="O1138" s="55" t="str">
        <f t="shared" si="22"/>
        <v>01</v>
      </c>
    </row>
    <row r="1139" spans="15:15" x14ac:dyDescent="0.25">
      <c r="O1139" s="55" t="str">
        <f t="shared" si="22"/>
        <v>01</v>
      </c>
    </row>
    <row r="1140" spans="15:15" x14ac:dyDescent="0.25">
      <c r="O1140" s="55" t="str">
        <f t="shared" si="22"/>
        <v>01</v>
      </c>
    </row>
    <row r="1141" spans="15:15" x14ac:dyDescent="0.25">
      <c r="O1141" s="55" t="str">
        <f t="shared" si="22"/>
        <v>01</v>
      </c>
    </row>
    <row r="1142" spans="15:15" x14ac:dyDescent="0.25">
      <c r="O1142" s="55" t="str">
        <f t="shared" si="22"/>
        <v>01</v>
      </c>
    </row>
    <row r="1143" spans="15:15" x14ac:dyDescent="0.25">
      <c r="O1143" s="55" t="str">
        <f t="shared" si="22"/>
        <v>01</v>
      </c>
    </row>
    <row r="1144" spans="15:15" x14ac:dyDescent="0.25">
      <c r="O1144" s="55" t="str">
        <f t="shared" si="22"/>
        <v>01</v>
      </c>
    </row>
    <row r="1145" spans="15:15" x14ac:dyDescent="0.25">
      <c r="O1145" s="55" t="str">
        <f t="shared" si="22"/>
        <v>01</v>
      </c>
    </row>
    <row r="1146" spans="15:15" x14ac:dyDescent="0.25">
      <c r="O1146" s="55" t="str">
        <f t="shared" si="22"/>
        <v>01</v>
      </c>
    </row>
    <row r="1147" spans="15:15" x14ac:dyDescent="0.25">
      <c r="O1147" s="55" t="str">
        <f t="shared" si="22"/>
        <v>01</v>
      </c>
    </row>
    <row r="1148" spans="15:15" x14ac:dyDescent="0.25">
      <c r="O1148" s="55" t="str">
        <f t="shared" si="22"/>
        <v>01</v>
      </c>
    </row>
    <row r="1149" spans="15:15" x14ac:dyDescent="0.25">
      <c r="O1149" s="55" t="str">
        <f t="shared" si="22"/>
        <v>01</v>
      </c>
    </row>
    <row r="1150" spans="15:15" x14ac:dyDescent="0.25">
      <c r="O1150" s="55" t="str">
        <f t="shared" si="22"/>
        <v>01</v>
      </c>
    </row>
    <row r="1151" spans="15:15" x14ac:dyDescent="0.25">
      <c r="O1151" s="55" t="str">
        <f t="shared" si="22"/>
        <v>01</v>
      </c>
    </row>
    <row r="1152" spans="15:15" x14ac:dyDescent="0.25">
      <c r="O1152" s="55" t="str">
        <f t="shared" si="22"/>
        <v>01</v>
      </c>
    </row>
    <row r="1153" spans="15:15" x14ac:dyDescent="0.25">
      <c r="O1153" s="55" t="str">
        <f t="shared" si="22"/>
        <v>01</v>
      </c>
    </row>
    <row r="1154" spans="15:15" x14ac:dyDescent="0.25">
      <c r="O1154" s="55" t="str">
        <f t="shared" si="22"/>
        <v>01</v>
      </c>
    </row>
    <row r="1155" spans="15:15" x14ac:dyDescent="0.25">
      <c r="O1155" s="55" t="str">
        <f t="shared" si="22"/>
        <v>01</v>
      </c>
    </row>
    <row r="1156" spans="15:15" x14ac:dyDescent="0.25">
      <c r="O1156" s="55" t="str">
        <f t="shared" si="22"/>
        <v>01</v>
      </c>
    </row>
    <row r="1157" spans="15:15" x14ac:dyDescent="0.25">
      <c r="O1157" s="55" t="str">
        <f t="shared" si="22"/>
        <v>01</v>
      </c>
    </row>
    <row r="1158" spans="15:15" x14ac:dyDescent="0.25">
      <c r="O1158" s="55" t="str">
        <f t="shared" si="22"/>
        <v>01</v>
      </c>
    </row>
    <row r="1159" spans="15:15" x14ac:dyDescent="0.25">
      <c r="O1159" s="55" t="str">
        <f t="shared" si="22"/>
        <v>01</v>
      </c>
    </row>
    <row r="1160" spans="15:15" x14ac:dyDescent="0.25">
      <c r="O1160" s="55" t="str">
        <f t="shared" si="22"/>
        <v>01</v>
      </c>
    </row>
    <row r="1161" spans="15:15" x14ac:dyDescent="0.25">
      <c r="O1161" s="55" t="str">
        <f t="shared" si="22"/>
        <v>01</v>
      </c>
    </row>
    <row r="1162" spans="15:15" x14ac:dyDescent="0.25">
      <c r="O1162" s="55" t="str">
        <f t="shared" si="22"/>
        <v>01</v>
      </c>
    </row>
    <row r="1163" spans="15:15" x14ac:dyDescent="0.25">
      <c r="O1163" s="55" t="str">
        <f t="shared" si="22"/>
        <v>01</v>
      </c>
    </row>
    <row r="1164" spans="15:15" x14ac:dyDescent="0.25">
      <c r="O1164" s="55" t="str">
        <f t="shared" si="22"/>
        <v>01</v>
      </c>
    </row>
    <row r="1165" spans="15:15" x14ac:dyDescent="0.25">
      <c r="O1165" s="55" t="str">
        <f t="shared" si="22"/>
        <v>01</v>
      </c>
    </row>
    <row r="1166" spans="15:15" x14ac:dyDescent="0.25">
      <c r="O1166" s="55" t="str">
        <f t="shared" si="22"/>
        <v>01</v>
      </c>
    </row>
    <row r="1167" spans="15:15" x14ac:dyDescent="0.25">
      <c r="O1167" s="55" t="str">
        <f t="shared" si="22"/>
        <v>01</v>
      </c>
    </row>
    <row r="1168" spans="15:15" x14ac:dyDescent="0.25">
      <c r="O1168" s="55" t="str">
        <f t="shared" si="22"/>
        <v>01</v>
      </c>
    </row>
    <row r="1169" spans="15:15" x14ac:dyDescent="0.25">
      <c r="O1169" s="55" t="str">
        <f t="shared" si="22"/>
        <v>01</v>
      </c>
    </row>
    <row r="1170" spans="15:15" x14ac:dyDescent="0.25">
      <c r="O1170" s="55" t="str">
        <f t="shared" si="22"/>
        <v>01</v>
      </c>
    </row>
    <row r="1171" spans="15:15" x14ac:dyDescent="0.25">
      <c r="O1171" s="55" t="str">
        <f t="shared" si="22"/>
        <v>01</v>
      </c>
    </row>
    <row r="1172" spans="15:15" x14ac:dyDescent="0.25">
      <c r="O1172" s="55" t="str">
        <f t="shared" si="22"/>
        <v>01</v>
      </c>
    </row>
    <row r="1173" spans="15:15" x14ac:dyDescent="0.25">
      <c r="O1173" s="55" t="str">
        <f t="shared" si="22"/>
        <v>01</v>
      </c>
    </row>
    <row r="1174" spans="15:15" x14ac:dyDescent="0.25">
      <c r="O1174" s="55" t="str">
        <f t="shared" si="22"/>
        <v>01</v>
      </c>
    </row>
    <row r="1175" spans="15:15" x14ac:dyDescent="0.25">
      <c r="O1175" s="55" t="str">
        <f t="shared" si="22"/>
        <v>01</v>
      </c>
    </row>
    <row r="1176" spans="15:15" x14ac:dyDescent="0.25">
      <c r="O1176" s="55" t="str">
        <f t="shared" si="22"/>
        <v>01</v>
      </c>
    </row>
    <row r="1177" spans="15:15" x14ac:dyDescent="0.25">
      <c r="O1177" s="55" t="str">
        <f t="shared" si="22"/>
        <v>01</v>
      </c>
    </row>
    <row r="1178" spans="15:15" x14ac:dyDescent="0.25">
      <c r="O1178" s="55" t="str">
        <f t="shared" ref="O1178:O1241" si="23">+TEXT(H1178,"MM")</f>
        <v>01</v>
      </c>
    </row>
    <row r="1179" spans="15:15" x14ac:dyDescent="0.25">
      <c r="O1179" s="55" t="str">
        <f t="shared" si="23"/>
        <v>01</v>
      </c>
    </row>
    <row r="1180" spans="15:15" x14ac:dyDescent="0.25">
      <c r="O1180" s="55" t="str">
        <f t="shared" si="23"/>
        <v>01</v>
      </c>
    </row>
    <row r="1181" spans="15:15" x14ac:dyDescent="0.25">
      <c r="O1181" s="55" t="str">
        <f t="shared" si="23"/>
        <v>01</v>
      </c>
    </row>
    <row r="1182" spans="15:15" x14ac:dyDescent="0.25">
      <c r="O1182" s="55" t="str">
        <f t="shared" si="23"/>
        <v>01</v>
      </c>
    </row>
    <row r="1183" spans="15:15" x14ac:dyDescent="0.25">
      <c r="O1183" s="55" t="str">
        <f t="shared" si="23"/>
        <v>01</v>
      </c>
    </row>
    <row r="1184" spans="15:15" x14ac:dyDescent="0.25">
      <c r="O1184" s="55" t="str">
        <f t="shared" si="23"/>
        <v>01</v>
      </c>
    </row>
    <row r="1185" spans="15:15" x14ac:dyDescent="0.25">
      <c r="O1185" s="55" t="str">
        <f t="shared" si="23"/>
        <v>01</v>
      </c>
    </row>
    <row r="1186" spans="15:15" x14ac:dyDescent="0.25">
      <c r="O1186" s="55" t="str">
        <f t="shared" si="23"/>
        <v>01</v>
      </c>
    </row>
    <row r="1187" spans="15:15" x14ac:dyDescent="0.25">
      <c r="O1187" s="55" t="str">
        <f t="shared" si="23"/>
        <v>01</v>
      </c>
    </row>
    <row r="1188" spans="15:15" x14ac:dyDescent="0.25">
      <c r="O1188" s="55" t="str">
        <f t="shared" si="23"/>
        <v>01</v>
      </c>
    </row>
    <row r="1189" spans="15:15" x14ac:dyDescent="0.25">
      <c r="O1189" s="55" t="str">
        <f t="shared" si="23"/>
        <v>01</v>
      </c>
    </row>
    <row r="1190" spans="15:15" x14ac:dyDescent="0.25">
      <c r="O1190" s="55" t="str">
        <f t="shared" si="23"/>
        <v>01</v>
      </c>
    </row>
    <row r="1191" spans="15:15" x14ac:dyDescent="0.25">
      <c r="O1191" s="55" t="str">
        <f t="shared" si="23"/>
        <v>01</v>
      </c>
    </row>
    <row r="1192" spans="15:15" x14ac:dyDescent="0.25">
      <c r="O1192" s="55" t="str">
        <f t="shared" si="23"/>
        <v>01</v>
      </c>
    </row>
    <row r="1193" spans="15:15" x14ac:dyDescent="0.25">
      <c r="O1193" s="55" t="str">
        <f t="shared" si="23"/>
        <v>01</v>
      </c>
    </row>
    <row r="1194" spans="15:15" x14ac:dyDescent="0.25">
      <c r="O1194" s="55" t="str">
        <f t="shared" si="23"/>
        <v>01</v>
      </c>
    </row>
    <row r="1195" spans="15:15" x14ac:dyDescent="0.25">
      <c r="O1195" s="55" t="str">
        <f t="shared" si="23"/>
        <v>01</v>
      </c>
    </row>
    <row r="1196" spans="15:15" x14ac:dyDescent="0.25">
      <c r="O1196" s="55" t="str">
        <f t="shared" si="23"/>
        <v>01</v>
      </c>
    </row>
    <row r="1197" spans="15:15" x14ac:dyDescent="0.25">
      <c r="O1197" s="55" t="str">
        <f t="shared" si="23"/>
        <v>01</v>
      </c>
    </row>
    <row r="1198" spans="15:15" x14ac:dyDescent="0.25">
      <c r="O1198" s="55" t="str">
        <f t="shared" si="23"/>
        <v>01</v>
      </c>
    </row>
    <row r="1199" spans="15:15" x14ac:dyDescent="0.25">
      <c r="O1199" s="55" t="str">
        <f t="shared" si="23"/>
        <v>01</v>
      </c>
    </row>
    <row r="1200" spans="15:15" x14ac:dyDescent="0.25">
      <c r="O1200" s="55" t="str">
        <f t="shared" si="23"/>
        <v>01</v>
      </c>
    </row>
    <row r="1201" spans="15:15" x14ac:dyDescent="0.25">
      <c r="O1201" s="55" t="str">
        <f t="shared" si="23"/>
        <v>01</v>
      </c>
    </row>
    <row r="1202" spans="15:15" x14ac:dyDescent="0.25">
      <c r="O1202" s="55" t="str">
        <f t="shared" si="23"/>
        <v>01</v>
      </c>
    </row>
    <row r="1203" spans="15:15" x14ac:dyDescent="0.25">
      <c r="O1203" s="55" t="str">
        <f t="shared" si="23"/>
        <v>01</v>
      </c>
    </row>
    <row r="1204" spans="15:15" x14ac:dyDescent="0.25">
      <c r="O1204" s="55" t="str">
        <f t="shared" si="23"/>
        <v>01</v>
      </c>
    </row>
    <row r="1205" spans="15:15" x14ac:dyDescent="0.25">
      <c r="O1205" s="55" t="str">
        <f t="shared" si="23"/>
        <v>01</v>
      </c>
    </row>
    <row r="1206" spans="15:15" x14ac:dyDescent="0.25">
      <c r="O1206" s="55" t="str">
        <f t="shared" si="23"/>
        <v>01</v>
      </c>
    </row>
    <row r="1207" spans="15:15" x14ac:dyDescent="0.25">
      <c r="O1207" s="55" t="str">
        <f t="shared" si="23"/>
        <v>01</v>
      </c>
    </row>
    <row r="1208" spans="15:15" x14ac:dyDescent="0.25">
      <c r="O1208" s="55" t="str">
        <f t="shared" si="23"/>
        <v>01</v>
      </c>
    </row>
    <row r="1209" spans="15:15" x14ac:dyDescent="0.25">
      <c r="O1209" s="55" t="str">
        <f t="shared" si="23"/>
        <v>01</v>
      </c>
    </row>
    <row r="1210" spans="15:15" x14ac:dyDescent="0.25">
      <c r="O1210" s="55" t="str">
        <f t="shared" si="23"/>
        <v>01</v>
      </c>
    </row>
    <row r="1211" spans="15:15" x14ac:dyDescent="0.25">
      <c r="O1211" s="55" t="str">
        <f t="shared" si="23"/>
        <v>01</v>
      </c>
    </row>
    <row r="1212" spans="15:15" x14ac:dyDescent="0.25">
      <c r="O1212" s="55" t="str">
        <f t="shared" si="23"/>
        <v>01</v>
      </c>
    </row>
    <row r="1213" spans="15:15" x14ac:dyDescent="0.25">
      <c r="O1213" s="55" t="str">
        <f t="shared" si="23"/>
        <v>01</v>
      </c>
    </row>
    <row r="1214" spans="15:15" x14ac:dyDescent="0.25">
      <c r="O1214" s="55" t="str">
        <f t="shared" si="23"/>
        <v>01</v>
      </c>
    </row>
    <row r="1215" spans="15:15" x14ac:dyDescent="0.25">
      <c r="O1215" s="55" t="str">
        <f t="shared" si="23"/>
        <v>01</v>
      </c>
    </row>
    <row r="1216" spans="15:15" x14ac:dyDescent="0.25">
      <c r="O1216" s="55" t="str">
        <f t="shared" si="23"/>
        <v>01</v>
      </c>
    </row>
    <row r="1217" spans="15:15" x14ac:dyDescent="0.25">
      <c r="O1217" s="55" t="str">
        <f t="shared" si="23"/>
        <v>01</v>
      </c>
    </row>
    <row r="1218" spans="15:15" x14ac:dyDescent="0.25">
      <c r="O1218" s="55" t="str">
        <f t="shared" si="23"/>
        <v>01</v>
      </c>
    </row>
    <row r="1219" spans="15:15" x14ac:dyDescent="0.25">
      <c r="O1219" s="55" t="str">
        <f t="shared" si="23"/>
        <v>01</v>
      </c>
    </row>
    <row r="1220" spans="15:15" x14ac:dyDescent="0.25">
      <c r="O1220" s="55" t="str">
        <f t="shared" si="23"/>
        <v>01</v>
      </c>
    </row>
    <row r="1221" spans="15:15" x14ac:dyDescent="0.25">
      <c r="O1221" s="55" t="str">
        <f t="shared" si="23"/>
        <v>01</v>
      </c>
    </row>
    <row r="1222" spans="15:15" x14ac:dyDescent="0.25">
      <c r="O1222" s="55" t="str">
        <f t="shared" si="23"/>
        <v>01</v>
      </c>
    </row>
    <row r="1223" spans="15:15" x14ac:dyDescent="0.25">
      <c r="O1223" s="55" t="str">
        <f t="shared" si="23"/>
        <v>01</v>
      </c>
    </row>
    <row r="1224" spans="15:15" x14ac:dyDescent="0.25">
      <c r="O1224" s="55" t="str">
        <f t="shared" si="23"/>
        <v>01</v>
      </c>
    </row>
    <row r="1225" spans="15:15" x14ac:dyDescent="0.25">
      <c r="O1225" s="55" t="str">
        <f t="shared" si="23"/>
        <v>01</v>
      </c>
    </row>
    <row r="1226" spans="15:15" x14ac:dyDescent="0.25">
      <c r="O1226" s="55" t="str">
        <f t="shared" si="23"/>
        <v>01</v>
      </c>
    </row>
    <row r="1227" spans="15:15" x14ac:dyDescent="0.25">
      <c r="O1227" s="55" t="str">
        <f t="shared" si="23"/>
        <v>01</v>
      </c>
    </row>
    <row r="1228" spans="15:15" x14ac:dyDescent="0.25">
      <c r="O1228" s="55" t="str">
        <f t="shared" si="23"/>
        <v>01</v>
      </c>
    </row>
    <row r="1229" spans="15:15" x14ac:dyDescent="0.25">
      <c r="O1229" s="55" t="str">
        <f t="shared" si="23"/>
        <v>01</v>
      </c>
    </row>
    <row r="1230" spans="15:15" x14ac:dyDescent="0.25">
      <c r="O1230" s="55" t="str">
        <f t="shared" si="23"/>
        <v>01</v>
      </c>
    </row>
    <row r="1231" spans="15:15" x14ac:dyDescent="0.25">
      <c r="O1231" s="55" t="str">
        <f t="shared" si="23"/>
        <v>01</v>
      </c>
    </row>
    <row r="1232" spans="15:15" x14ac:dyDescent="0.25">
      <c r="O1232" s="55" t="str">
        <f t="shared" si="23"/>
        <v>01</v>
      </c>
    </row>
    <row r="1233" spans="15:15" x14ac:dyDescent="0.25">
      <c r="O1233" s="55" t="str">
        <f t="shared" si="23"/>
        <v>01</v>
      </c>
    </row>
    <row r="1234" spans="15:15" x14ac:dyDescent="0.25">
      <c r="O1234" s="55" t="str">
        <f t="shared" si="23"/>
        <v>01</v>
      </c>
    </row>
    <row r="1235" spans="15:15" x14ac:dyDescent="0.25">
      <c r="O1235" s="55" t="str">
        <f t="shared" si="23"/>
        <v>01</v>
      </c>
    </row>
    <row r="1236" spans="15:15" x14ac:dyDescent="0.25">
      <c r="O1236" s="55" t="str">
        <f t="shared" si="23"/>
        <v>01</v>
      </c>
    </row>
    <row r="1237" spans="15:15" x14ac:dyDescent="0.25">
      <c r="O1237" s="55" t="str">
        <f t="shared" si="23"/>
        <v>01</v>
      </c>
    </row>
    <row r="1238" spans="15:15" x14ac:dyDescent="0.25">
      <c r="O1238" s="55" t="str">
        <f t="shared" si="23"/>
        <v>01</v>
      </c>
    </row>
    <row r="1239" spans="15:15" x14ac:dyDescent="0.25">
      <c r="O1239" s="55" t="str">
        <f t="shared" si="23"/>
        <v>01</v>
      </c>
    </row>
    <row r="1240" spans="15:15" x14ac:dyDescent="0.25">
      <c r="O1240" s="55" t="str">
        <f t="shared" si="23"/>
        <v>01</v>
      </c>
    </row>
    <row r="1241" spans="15:15" x14ac:dyDescent="0.25">
      <c r="O1241" s="55" t="str">
        <f t="shared" si="23"/>
        <v>01</v>
      </c>
    </row>
    <row r="1242" spans="15:15" x14ac:dyDescent="0.25">
      <c r="O1242" s="55" t="str">
        <f t="shared" ref="O1242:O1305" si="24">+TEXT(H1242,"MM")</f>
        <v>01</v>
      </c>
    </row>
    <row r="1243" spans="15:15" x14ac:dyDescent="0.25">
      <c r="O1243" s="55" t="str">
        <f t="shared" si="24"/>
        <v>01</v>
      </c>
    </row>
    <row r="1244" spans="15:15" x14ac:dyDescent="0.25">
      <c r="O1244" s="55" t="str">
        <f t="shared" si="24"/>
        <v>01</v>
      </c>
    </row>
    <row r="1245" spans="15:15" x14ac:dyDescent="0.25">
      <c r="O1245" s="55" t="str">
        <f t="shared" si="24"/>
        <v>01</v>
      </c>
    </row>
    <row r="1246" spans="15:15" x14ac:dyDescent="0.25">
      <c r="O1246" s="55" t="str">
        <f t="shared" si="24"/>
        <v>01</v>
      </c>
    </row>
    <row r="1247" spans="15:15" x14ac:dyDescent="0.25">
      <c r="O1247" s="55" t="str">
        <f t="shared" si="24"/>
        <v>01</v>
      </c>
    </row>
    <row r="1248" spans="15:15" x14ac:dyDescent="0.25">
      <c r="O1248" s="55" t="str">
        <f t="shared" si="24"/>
        <v>01</v>
      </c>
    </row>
    <row r="1249" spans="15:15" x14ac:dyDescent="0.25">
      <c r="O1249" s="55" t="str">
        <f t="shared" si="24"/>
        <v>01</v>
      </c>
    </row>
    <row r="1250" spans="15:15" x14ac:dyDescent="0.25">
      <c r="O1250" s="55" t="str">
        <f t="shared" si="24"/>
        <v>01</v>
      </c>
    </row>
    <row r="1251" spans="15:15" x14ac:dyDescent="0.25">
      <c r="O1251" s="55" t="str">
        <f t="shared" si="24"/>
        <v>01</v>
      </c>
    </row>
    <row r="1252" spans="15:15" x14ac:dyDescent="0.25">
      <c r="O1252" s="55" t="str">
        <f t="shared" si="24"/>
        <v>01</v>
      </c>
    </row>
    <row r="1253" spans="15:15" x14ac:dyDescent="0.25">
      <c r="O1253" s="55" t="str">
        <f t="shared" si="24"/>
        <v>01</v>
      </c>
    </row>
    <row r="1254" spans="15:15" x14ac:dyDescent="0.25">
      <c r="O1254" s="55" t="str">
        <f t="shared" si="24"/>
        <v>01</v>
      </c>
    </row>
    <row r="1255" spans="15:15" x14ac:dyDescent="0.25">
      <c r="O1255" s="55" t="str">
        <f t="shared" si="24"/>
        <v>01</v>
      </c>
    </row>
    <row r="1256" spans="15:15" x14ac:dyDescent="0.25">
      <c r="O1256" s="55" t="str">
        <f t="shared" si="24"/>
        <v>01</v>
      </c>
    </row>
    <row r="1257" spans="15:15" x14ac:dyDescent="0.25">
      <c r="O1257" s="55" t="str">
        <f t="shared" si="24"/>
        <v>01</v>
      </c>
    </row>
    <row r="1258" spans="15:15" x14ac:dyDescent="0.25">
      <c r="O1258" s="55" t="str">
        <f t="shared" si="24"/>
        <v>01</v>
      </c>
    </row>
    <row r="1259" spans="15:15" x14ac:dyDescent="0.25">
      <c r="O1259" s="55" t="str">
        <f t="shared" si="24"/>
        <v>01</v>
      </c>
    </row>
    <row r="1260" spans="15:15" x14ac:dyDescent="0.25">
      <c r="O1260" s="55" t="str">
        <f t="shared" si="24"/>
        <v>01</v>
      </c>
    </row>
    <row r="1261" spans="15:15" x14ac:dyDescent="0.25">
      <c r="O1261" s="55" t="str">
        <f t="shared" si="24"/>
        <v>01</v>
      </c>
    </row>
    <row r="1262" spans="15:15" x14ac:dyDescent="0.25">
      <c r="O1262" s="55" t="str">
        <f t="shared" si="24"/>
        <v>01</v>
      </c>
    </row>
    <row r="1263" spans="15:15" x14ac:dyDescent="0.25">
      <c r="O1263" s="55" t="str">
        <f t="shared" si="24"/>
        <v>01</v>
      </c>
    </row>
    <row r="1264" spans="15:15" x14ac:dyDescent="0.25">
      <c r="O1264" s="55" t="str">
        <f t="shared" si="24"/>
        <v>01</v>
      </c>
    </row>
    <row r="1265" spans="15:15" x14ac:dyDescent="0.25">
      <c r="O1265" s="55" t="str">
        <f t="shared" si="24"/>
        <v>01</v>
      </c>
    </row>
    <row r="1266" spans="15:15" x14ac:dyDescent="0.25">
      <c r="O1266" s="55" t="str">
        <f t="shared" si="24"/>
        <v>01</v>
      </c>
    </row>
    <row r="1267" spans="15:15" x14ac:dyDescent="0.25">
      <c r="O1267" s="55" t="str">
        <f t="shared" si="24"/>
        <v>01</v>
      </c>
    </row>
    <row r="1268" spans="15:15" x14ac:dyDescent="0.25">
      <c r="O1268" s="55" t="str">
        <f t="shared" si="24"/>
        <v>01</v>
      </c>
    </row>
    <row r="1269" spans="15:15" x14ac:dyDescent="0.25">
      <c r="O1269" s="55" t="str">
        <f t="shared" si="24"/>
        <v>01</v>
      </c>
    </row>
    <row r="1270" spans="15:15" x14ac:dyDescent="0.25">
      <c r="O1270" s="55" t="str">
        <f t="shared" si="24"/>
        <v>01</v>
      </c>
    </row>
    <row r="1271" spans="15:15" x14ac:dyDescent="0.25">
      <c r="O1271" s="55" t="str">
        <f t="shared" si="24"/>
        <v>01</v>
      </c>
    </row>
    <row r="1272" spans="15:15" x14ac:dyDescent="0.25">
      <c r="O1272" s="55" t="str">
        <f t="shared" si="24"/>
        <v>01</v>
      </c>
    </row>
    <row r="1273" spans="15:15" x14ac:dyDescent="0.25">
      <c r="O1273" s="55" t="str">
        <f t="shared" si="24"/>
        <v>01</v>
      </c>
    </row>
    <row r="1274" spans="15:15" x14ac:dyDescent="0.25">
      <c r="O1274" s="55" t="str">
        <f t="shared" si="24"/>
        <v>01</v>
      </c>
    </row>
    <row r="1275" spans="15:15" x14ac:dyDescent="0.25">
      <c r="O1275" s="55" t="str">
        <f t="shared" si="24"/>
        <v>01</v>
      </c>
    </row>
    <row r="1276" spans="15:15" x14ac:dyDescent="0.25">
      <c r="O1276" s="55" t="str">
        <f t="shared" si="24"/>
        <v>01</v>
      </c>
    </row>
    <row r="1277" spans="15:15" x14ac:dyDescent="0.25">
      <c r="O1277" s="55" t="str">
        <f t="shared" si="24"/>
        <v>01</v>
      </c>
    </row>
    <row r="1278" spans="15:15" x14ac:dyDescent="0.25">
      <c r="O1278" s="55" t="str">
        <f t="shared" si="24"/>
        <v>01</v>
      </c>
    </row>
    <row r="1279" spans="15:15" x14ac:dyDescent="0.25">
      <c r="O1279" s="55" t="str">
        <f t="shared" si="24"/>
        <v>01</v>
      </c>
    </row>
    <row r="1280" spans="15:15" x14ac:dyDescent="0.25">
      <c r="O1280" s="55" t="str">
        <f t="shared" si="24"/>
        <v>01</v>
      </c>
    </row>
    <row r="1281" spans="15:15" x14ac:dyDescent="0.25">
      <c r="O1281" s="55" t="str">
        <f t="shared" si="24"/>
        <v>01</v>
      </c>
    </row>
    <row r="1282" spans="15:15" x14ac:dyDescent="0.25">
      <c r="O1282" s="55" t="str">
        <f t="shared" si="24"/>
        <v>01</v>
      </c>
    </row>
    <row r="1283" spans="15:15" x14ac:dyDescent="0.25">
      <c r="O1283" s="55" t="str">
        <f t="shared" si="24"/>
        <v>01</v>
      </c>
    </row>
    <row r="1284" spans="15:15" x14ac:dyDescent="0.25">
      <c r="O1284" s="55" t="str">
        <f t="shared" si="24"/>
        <v>01</v>
      </c>
    </row>
    <row r="1285" spans="15:15" x14ac:dyDescent="0.25">
      <c r="O1285" s="55" t="str">
        <f t="shared" si="24"/>
        <v>01</v>
      </c>
    </row>
    <row r="1286" spans="15:15" x14ac:dyDescent="0.25">
      <c r="O1286" s="55" t="str">
        <f t="shared" si="24"/>
        <v>01</v>
      </c>
    </row>
    <row r="1287" spans="15:15" x14ac:dyDescent="0.25">
      <c r="O1287" s="55" t="str">
        <f t="shared" si="24"/>
        <v>01</v>
      </c>
    </row>
    <row r="1288" spans="15:15" x14ac:dyDescent="0.25">
      <c r="O1288" s="55" t="str">
        <f t="shared" si="24"/>
        <v>01</v>
      </c>
    </row>
    <row r="1289" spans="15:15" x14ac:dyDescent="0.25">
      <c r="O1289" s="55" t="str">
        <f t="shared" si="24"/>
        <v>01</v>
      </c>
    </row>
    <row r="1290" spans="15:15" x14ac:dyDescent="0.25">
      <c r="O1290" s="55" t="str">
        <f t="shared" si="24"/>
        <v>01</v>
      </c>
    </row>
    <row r="1291" spans="15:15" x14ac:dyDescent="0.25">
      <c r="O1291" s="55" t="str">
        <f t="shared" si="24"/>
        <v>01</v>
      </c>
    </row>
    <row r="1292" spans="15:15" x14ac:dyDescent="0.25">
      <c r="O1292" s="55" t="str">
        <f t="shared" si="24"/>
        <v>01</v>
      </c>
    </row>
    <row r="1293" spans="15:15" x14ac:dyDescent="0.25">
      <c r="O1293" s="55" t="str">
        <f t="shared" si="24"/>
        <v>01</v>
      </c>
    </row>
    <row r="1294" spans="15:15" x14ac:dyDescent="0.25">
      <c r="O1294" s="55" t="str">
        <f t="shared" si="24"/>
        <v>01</v>
      </c>
    </row>
    <row r="1295" spans="15:15" x14ac:dyDescent="0.25">
      <c r="O1295" s="55" t="str">
        <f t="shared" si="24"/>
        <v>01</v>
      </c>
    </row>
    <row r="1296" spans="15:15" x14ac:dyDescent="0.25">
      <c r="O1296" s="55" t="str">
        <f t="shared" si="24"/>
        <v>01</v>
      </c>
    </row>
    <row r="1297" spans="15:15" x14ac:dyDescent="0.25">
      <c r="O1297" s="55" t="str">
        <f t="shared" si="24"/>
        <v>01</v>
      </c>
    </row>
    <row r="1298" spans="15:15" x14ac:dyDescent="0.25">
      <c r="O1298" s="55" t="str">
        <f t="shared" si="24"/>
        <v>01</v>
      </c>
    </row>
    <row r="1299" spans="15:15" x14ac:dyDescent="0.25">
      <c r="O1299" s="55" t="str">
        <f t="shared" si="24"/>
        <v>01</v>
      </c>
    </row>
    <row r="1300" spans="15:15" x14ac:dyDescent="0.25">
      <c r="O1300" s="55" t="str">
        <f t="shared" si="24"/>
        <v>01</v>
      </c>
    </row>
    <row r="1301" spans="15:15" x14ac:dyDescent="0.25">
      <c r="O1301" s="55" t="str">
        <f t="shared" si="24"/>
        <v>01</v>
      </c>
    </row>
    <row r="1302" spans="15:15" x14ac:dyDescent="0.25">
      <c r="O1302" s="55" t="str">
        <f t="shared" si="24"/>
        <v>01</v>
      </c>
    </row>
    <row r="1303" spans="15:15" x14ac:dyDescent="0.25">
      <c r="O1303" s="55" t="str">
        <f t="shared" si="24"/>
        <v>01</v>
      </c>
    </row>
    <row r="1304" spans="15:15" x14ac:dyDescent="0.25">
      <c r="O1304" s="55" t="str">
        <f t="shared" si="24"/>
        <v>01</v>
      </c>
    </row>
    <row r="1305" spans="15:15" x14ac:dyDescent="0.25">
      <c r="O1305" s="55" t="str">
        <f t="shared" si="24"/>
        <v>01</v>
      </c>
    </row>
    <row r="1306" spans="15:15" x14ac:dyDescent="0.25">
      <c r="O1306" s="55" t="str">
        <f t="shared" ref="O1306:O1369" si="25">+TEXT(H1306,"MM")</f>
        <v>01</v>
      </c>
    </row>
    <row r="1307" spans="15:15" x14ac:dyDescent="0.25">
      <c r="O1307" s="55" t="str">
        <f t="shared" si="25"/>
        <v>01</v>
      </c>
    </row>
    <row r="1308" spans="15:15" x14ac:dyDescent="0.25">
      <c r="O1308" s="55" t="str">
        <f t="shared" si="25"/>
        <v>01</v>
      </c>
    </row>
    <row r="1309" spans="15:15" x14ac:dyDescent="0.25">
      <c r="O1309" s="55" t="str">
        <f t="shared" si="25"/>
        <v>01</v>
      </c>
    </row>
    <row r="1310" spans="15:15" x14ac:dyDescent="0.25">
      <c r="O1310" s="55" t="str">
        <f t="shared" si="25"/>
        <v>01</v>
      </c>
    </row>
    <row r="1311" spans="15:15" x14ac:dyDescent="0.25">
      <c r="O1311" s="55" t="str">
        <f t="shared" si="25"/>
        <v>01</v>
      </c>
    </row>
    <row r="1312" spans="15:15" x14ac:dyDescent="0.25">
      <c r="O1312" s="55" t="str">
        <f t="shared" si="25"/>
        <v>01</v>
      </c>
    </row>
    <row r="1313" spans="15:15" x14ac:dyDescent="0.25">
      <c r="O1313" s="55" t="str">
        <f t="shared" si="25"/>
        <v>01</v>
      </c>
    </row>
    <row r="1314" spans="15:15" x14ac:dyDescent="0.25">
      <c r="O1314" s="55" t="str">
        <f t="shared" si="25"/>
        <v>01</v>
      </c>
    </row>
    <row r="1315" spans="15:15" x14ac:dyDescent="0.25">
      <c r="O1315" s="55" t="str">
        <f t="shared" si="25"/>
        <v>01</v>
      </c>
    </row>
    <row r="1316" spans="15:15" x14ac:dyDescent="0.25">
      <c r="O1316" s="55" t="str">
        <f t="shared" si="25"/>
        <v>01</v>
      </c>
    </row>
    <row r="1317" spans="15:15" x14ac:dyDescent="0.25">
      <c r="O1317" s="55" t="str">
        <f t="shared" si="25"/>
        <v>01</v>
      </c>
    </row>
    <row r="1318" spans="15:15" x14ac:dyDescent="0.25">
      <c r="O1318" s="55" t="str">
        <f t="shared" si="25"/>
        <v>01</v>
      </c>
    </row>
    <row r="1319" spans="15:15" x14ac:dyDescent="0.25">
      <c r="O1319" s="55" t="str">
        <f t="shared" si="25"/>
        <v>01</v>
      </c>
    </row>
    <row r="1320" spans="15:15" x14ac:dyDescent="0.25">
      <c r="O1320" s="55" t="str">
        <f t="shared" si="25"/>
        <v>01</v>
      </c>
    </row>
    <row r="1321" spans="15:15" x14ac:dyDescent="0.25">
      <c r="O1321" s="55" t="str">
        <f t="shared" si="25"/>
        <v>01</v>
      </c>
    </row>
    <row r="1322" spans="15:15" x14ac:dyDescent="0.25">
      <c r="O1322" s="55" t="str">
        <f t="shared" si="25"/>
        <v>01</v>
      </c>
    </row>
    <row r="1323" spans="15:15" x14ac:dyDescent="0.25">
      <c r="O1323" s="55" t="str">
        <f t="shared" si="25"/>
        <v>01</v>
      </c>
    </row>
    <row r="1324" spans="15:15" x14ac:dyDescent="0.25">
      <c r="O1324" s="55" t="str">
        <f t="shared" si="25"/>
        <v>01</v>
      </c>
    </row>
    <row r="1325" spans="15:15" x14ac:dyDescent="0.25">
      <c r="O1325" s="55" t="str">
        <f t="shared" si="25"/>
        <v>01</v>
      </c>
    </row>
    <row r="1326" spans="15:15" x14ac:dyDescent="0.25">
      <c r="O1326" s="55" t="str">
        <f t="shared" si="25"/>
        <v>01</v>
      </c>
    </row>
    <row r="1327" spans="15:15" x14ac:dyDescent="0.25">
      <c r="O1327" s="55" t="str">
        <f t="shared" si="25"/>
        <v>01</v>
      </c>
    </row>
    <row r="1328" spans="15:15" x14ac:dyDescent="0.25">
      <c r="O1328" s="55" t="str">
        <f t="shared" si="25"/>
        <v>01</v>
      </c>
    </row>
    <row r="1329" spans="15:15" x14ac:dyDescent="0.25">
      <c r="O1329" s="55" t="str">
        <f t="shared" si="25"/>
        <v>01</v>
      </c>
    </row>
    <row r="1330" spans="15:15" x14ac:dyDescent="0.25">
      <c r="O1330" s="55" t="str">
        <f t="shared" si="25"/>
        <v>01</v>
      </c>
    </row>
    <row r="1331" spans="15:15" x14ac:dyDescent="0.25">
      <c r="O1331" s="55" t="str">
        <f t="shared" si="25"/>
        <v>01</v>
      </c>
    </row>
    <row r="1332" spans="15:15" x14ac:dyDescent="0.25">
      <c r="O1332" s="55" t="str">
        <f t="shared" si="25"/>
        <v>01</v>
      </c>
    </row>
    <row r="1333" spans="15:15" x14ac:dyDescent="0.25">
      <c r="O1333" s="55" t="str">
        <f t="shared" si="25"/>
        <v>01</v>
      </c>
    </row>
    <row r="1334" spans="15:15" x14ac:dyDescent="0.25">
      <c r="O1334" s="55" t="str">
        <f t="shared" si="25"/>
        <v>01</v>
      </c>
    </row>
    <row r="1335" spans="15:15" x14ac:dyDescent="0.25">
      <c r="O1335" s="55" t="str">
        <f t="shared" si="25"/>
        <v>01</v>
      </c>
    </row>
    <row r="1336" spans="15:15" x14ac:dyDescent="0.25">
      <c r="O1336" s="55" t="str">
        <f t="shared" si="25"/>
        <v>01</v>
      </c>
    </row>
    <row r="1337" spans="15:15" x14ac:dyDescent="0.25">
      <c r="O1337" s="55" t="str">
        <f t="shared" si="25"/>
        <v>01</v>
      </c>
    </row>
    <row r="1338" spans="15:15" x14ac:dyDescent="0.25">
      <c r="O1338" s="55" t="str">
        <f t="shared" si="25"/>
        <v>01</v>
      </c>
    </row>
    <row r="1339" spans="15:15" x14ac:dyDescent="0.25">
      <c r="O1339" s="55" t="str">
        <f t="shared" si="25"/>
        <v>01</v>
      </c>
    </row>
    <row r="1340" spans="15:15" x14ac:dyDescent="0.25">
      <c r="O1340" s="55" t="str">
        <f t="shared" si="25"/>
        <v>01</v>
      </c>
    </row>
    <row r="1341" spans="15:15" x14ac:dyDescent="0.25">
      <c r="O1341" s="55" t="str">
        <f t="shared" si="25"/>
        <v>01</v>
      </c>
    </row>
    <row r="1342" spans="15:15" x14ac:dyDescent="0.25">
      <c r="O1342" s="55" t="str">
        <f t="shared" si="25"/>
        <v>01</v>
      </c>
    </row>
    <row r="1343" spans="15:15" x14ac:dyDescent="0.25">
      <c r="O1343" s="55" t="str">
        <f t="shared" si="25"/>
        <v>01</v>
      </c>
    </row>
    <row r="1344" spans="15:15" x14ac:dyDescent="0.25">
      <c r="O1344" s="55" t="str">
        <f t="shared" si="25"/>
        <v>01</v>
      </c>
    </row>
    <row r="1345" spans="15:15" x14ac:dyDescent="0.25">
      <c r="O1345" s="55" t="str">
        <f t="shared" si="25"/>
        <v>01</v>
      </c>
    </row>
    <row r="1346" spans="15:15" x14ac:dyDescent="0.25">
      <c r="O1346" s="55" t="str">
        <f t="shared" si="25"/>
        <v>01</v>
      </c>
    </row>
    <row r="1347" spans="15:15" x14ac:dyDescent="0.25">
      <c r="O1347" s="55" t="str">
        <f t="shared" si="25"/>
        <v>01</v>
      </c>
    </row>
    <row r="1348" spans="15:15" x14ac:dyDescent="0.25">
      <c r="O1348" s="55" t="str">
        <f t="shared" si="25"/>
        <v>01</v>
      </c>
    </row>
    <row r="1349" spans="15:15" x14ac:dyDescent="0.25">
      <c r="O1349" s="55" t="str">
        <f t="shared" si="25"/>
        <v>01</v>
      </c>
    </row>
    <row r="1350" spans="15:15" x14ac:dyDescent="0.25">
      <c r="O1350" s="55" t="str">
        <f t="shared" si="25"/>
        <v>01</v>
      </c>
    </row>
    <row r="1351" spans="15:15" x14ac:dyDescent="0.25">
      <c r="O1351" s="55" t="str">
        <f t="shared" si="25"/>
        <v>01</v>
      </c>
    </row>
    <row r="1352" spans="15:15" x14ac:dyDescent="0.25">
      <c r="O1352" s="55" t="str">
        <f t="shared" si="25"/>
        <v>01</v>
      </c>
    </row>
    <row r="1353" spans="15:15" x14ac:dyDescent="0.25">
      <c r="O1353" s="55" t="str">
        <f t="shared" si="25"/>
        <v>01</v>
      </c>
    </row>
    <row r="1354" spans="15:15" x14ac:dyDescent="0.25">
      <c r="O1354" s="55" t="str">
        <f t="shared" si="25"/>
        <v>01</v>
      </c>
    </row>
    <row r="1355" spans="15:15" x14ac:dyDescent="0.25">
      <c r="O1355" s="55" t="str">
        <f t="shared" si="25"/>
        <v>01</v>
      </c>
    </row>
    <row r="1356" spans="15:15" x14ac:dyDescent="0.25">
      <c r="O1356" s="55" t="str">
        <f t="shared" si="25"/>
        <v>01</v>
      </c>
    </row>
    <row r="1357" spans="15:15" x14ac:dyDescent="0.25">
      <c r="O1357" s="55" t="str">
        <f t="shared" si="25"/>
        <v>01</v>
      </c>
    </row>
    <row r="1358" spans="15:15" x14ac:dyDescent="0.25">
      <c r="O1358" s="55" t="str">
        <f t="shared" si="25"/>
        <v>01</v>
      </c>
    </row>
    <row r="1359" spans="15:15" x14ac:dyDescent="0.25">
      <c r="O1359" s="55" t="str">
        <f t="shared" si="25"/>
        <v>01</v>
      </c>
    </row>
    <row r="1360" spans="15:15" x14ac:dyDescent="0.25">
      <c r="O1360" s="55" t="str">
        <f t="shared" si="25"/>
        <v>01</v>
      </c>
    </row>
    <row r="1361" spans="15:15" x14ac:dyDescent="0.25">
      <c r="O1361" s="55" t="str">
        <f t="shared" si="25"/>
        <v>01</v>
      </c>
    </row>
    <row r="1362" spans="15:15" x14ac:dyDescent="0.25">
      <c r="O1362" s="55" t="str">
        <f t="shared" si="25"/>
        <v>01</v>
      </c>
    </row>
    <row r="1363" spans="15:15" x14ac:dyDescent="0.25">
      <c r="O1363" s="55" t="str">
        <f t="shared" si="25"/>
        <v>01</v>
      </c>
    </row>
    <row r="1364" spans="15:15" x14ac:dyDescent="0.25">
      <c r="O1364" s="55" t="str">
        <f t="shared" si="25"/>
        <v>01</v>
      </c>
    </row>
    <row r="1365" spans="15:15" x14ac:dyDescent="0.25">
      <c r="O1365" s="55" t="str">
        <f t="shared" si="25"/>
        <v>01</v>
      </c>
    </row>
    <row r="1366" spans="15:15" x14ac:dyDescent="0.25">
      <c r="O1366" s="55" t="str">
        <f t="shared" si="25"/>
        <v>01</v>
      </c>
    </row>
    <row r="1367" spans="15:15" x14ac:dyDescent="0.25">
      <c r="O1367" s="55" t="str">
        <f t="shared" si="25"/>
        <v>01</v>
      </c>
    </row>
    <row r="1368" spans="15:15" x14ac:dyDescent="0.25">
      <c r="O1368" s="55" t="str">
        <f t="shared" si="25"/>
        <v>01</v>
      </c>
    </row>
    <row r="1369" spans="15:15" x14ac:dyDescent="0.25">
      <c r="O1369" s="55" t="str">
        <f t="shared" si="25"/>
        <v>01</v>
      </c>
    </row>
    <row r="1370" spans="15:15" x14ac:dyDescent="0.25">
      <c r="O1370" s="55" t="str">
        <f t="shared" ref="O1370:O1433" si="26">+TEXT(H1370,"MM")</f>
        <v>01</v>
      </c>
    </row>
    <row r="1371" spans="15:15" x14ac:dyDescent="0.25">
      <c r="O1371" s="55" t="str">
        <f t="shared" si="26"/>
        <v>01</v>
      </c>
    </row>
    <row r="1372" spans="15:15" x14ac:dyDescent="0.25">
      <c r="O1372" s="55" t="str">
        <f t="shared" si="26"/>
        <v>01</v>
      </c>
    </row>
    <row r="1373" spans="15:15" x14ac:dyDescent="0.25">
      <c r="O1373" s="55" t="str">
        <f t="shared" si="26"/>
        <v>01</v>
      </c>
    </row>
    <row r="1374" spans="15:15" x14ac:dyDescent="0.25">
      <c r="O1374" s="55" t="str">
        <f t="shared" si="26"/>
        <v>01</v>
      </c>
    </row>
    <row r="1375" spans="15:15" x14ac:dyDescent="0.25">
      <c r="O1375" s="55" t="str">
        <f t="shared" si="26"/>
        <v>01</v>
      </c>
    </row>
    <row r="1376" spans="15:15" x14ac:dyDescent="0.25">
      <c r="O1376" s="55" t="str">
        <f t="shared" si="26"/>
        <v>01</v>
      </c>
    </row>
    <row r="1377" spans="15:15" x14ac:dyDescent="0.25">
      <c r="O1377" s="55" t="str">
        <f t="shared" si="26"/>
        <v>01</v>
      </c>
    </row>
    <row r="1378" spans="15:15" x14ac:dyDescent="0.25">
      <c r="O1378" s="55" t="str">
        <f t="shared" si="26"/>
        <v>01</v>
      </c>
    </row>
    <row r="1379" spans="15:15" x14ac:dyDescent="0.25">
      <c r="O1379" s="55" t="str">
        <f t="shared" si="26"/>
        <v>01</v>
      </c>
    </row>
    <row r="1380" spans="15:15" x14ac:dyDescent="0.25">
      <c r="O1380" s="55" t="str">
        <f t="shared" si="26"/>
        <v>01</v>
      </c>
    </row>
    <row r="1381" spans="15:15" x14ac:dyDescent="0.25">
      <c r="O1381" s="55" t="str">
        <f t="shared" si="26"/>
        <v>01</v>
      </c>
    </row>
    <row r="1382" spans="15:15" x14ac:dyDescent="0.25">
      <c r="O1382" s="55" t="str">
        <f t="shared" si="26"/>
        <v>01</v>
      </c>
    </row>
    <row r="1383" spans="15:15" x14ac:dyDescent="0.25">
      <c r="O1383" s="55" t="str">
        <f t="shared" si="26"/>
        <v>01</v>
      </c>
    </row>
    <row r="1384" spans="15:15" x14ac:dyDescent="0.25">
      <c r="O1384" s="55" t="str">
        <f t="shared" si="26"/>
        <v>01</v>
      </c>
    </row>
    <row r="1385" spans="15:15" x14ac:dyDescent="0.25">
      <c r="O1385" s="55" t="str">
        <f t="shared" si="26"/>
        <v>01</v>
      </c>
    </row>
    <row r="1386" spans="15:15" x14ac:dyDescent="0.25">
      <c r="O1386" s="55" t="str">
        <f t="shared" si="26"/>
        <v>01</v>
      </c>
    </row>
    <row r="1387" spans="15:15" x14ac:dyDescent="0.25">
      <c r="O1387" s="55" t="str">
        <f t="shared" si="26"/>
        <v>01</v>
      </c>
    </row>
    <row r="1388" spans="15:15" x14ac:dyDescent="0.25">
      <c r="O1388" s="55" t="str">
        <f t="shared" si="26"/>
        <v>01</v>
      </c>
    </row>
    <row r="1389" spans="15:15" x14ac:dyDescent="0.25">
      <c r="O1389" s="55" t="str">
        <f t="shared" si="26"/>
        <v>01</v>
      </c>
    </row>
    <row r="1390" spans="15:15" x14ac:dyDescent="0.25">
      <c r="O1390" s="55" t="str">
        <f t="shared" si="26"/>
        <v>01</v>
      </c>
    </row>
    <row r="1391" spans="15:15" x14ac:dyDescent="0.25">
      <c r="O1391" s="55" t="str">
        <f t="shared" si="26"/>
        <v>01</v>
      </c>
    </row>
    <row r="1392" spans="15:15" x14ac:dyDescent="0.25">
      <c r="O1392" s="55" t="str">
        <f t="shared" si="26"/>
        <v>01</v>
      </c>
    </row>
    <row r="1393" spans="15:15" x14ac:dyDescent="0.25">
      <c r="O1393" s="55" t="str">
        <f t="shared" si="26"/>
        <v>01</v>
      </c>
    </row>
    <row r="1394" spans="15:15" x14ac:dyDescent="0.25">
      <c r="O1394" s="55" t="str">
        <f t="shared" si="26"/>
        <v>01</v>
      </c>
    </row>
    <row r="1395" spans="15:15" x14ac:dyDescent="0.25">
      <c r="O1395" s="55" t="str">
        <f t="shared" si="26"/>
        <v>01</v>
      </c>
    </row>
    <row r="1396" spans="15:15" x14ac:dyDescent="0.25">
      <c r="O1396" s="55" t="str">
        <f t="shared" si="26"/>
        <v>01</v>
      </c>
    </row>
    <row r="1397" spans="15:15" x14ac:dyDescent="0.25">
      <c r="O1397" s="55" t="str">
        <f t="shared" si="26"/>
        <v>01</v>
      </c>
    </row>
    <row r="1398" spans="15:15" x14ac:dyDescent="0.25">
      <c r="O1398" s="55" t="str">
        <f t="shared" si="26"/>
        <v>01</v>
      </c>
    </row>
    <row r="1399" spans="15:15" x14ac:dyDescent="0.25">
      <c r="O1399" s="55" t="str">
        <f t="shared" si="26"/>
        <v>01</v>
      </c>
    </row>
    <row r="1400" spans="15:15" x14ac:dyDescent="0.25">
      <c r="O1400" s="55" t="str">
        <f t="shared" si="26"/>
        <v>01</v>
      </c>
    </row>
    <row r="1401" spans="15:15" x14ac:dyDescent="0.25">
      <c r="O1401" s="55" t="str">
        <f t="shared" si="26"/>
        <v>01</v>
      </c>
    </row>
    <row r="1402" spans="15:15" x14ac:dyDescent="0.25">
      <c r="O1402" s="55" t="str">
        <f t="shared" si="26"/>
        <v>01</v>
      </c>
    </row>
    <row r="1403" spans="15:15" x14ac:dyDescent="0.25">
      <c r="O1403" s="55" t="str">
        <f t="shared" si="26"/>
        <v>01</v>
      </c>
    </row>
    <row r="1404" spans="15:15" x14ac:dyDescent="0.25">
      <c r="O1404" s="55" t="str">
        <f t="shared" si="26"/>
        <v>01</v>
      </c>
    </row>
    <row r="1405" spans="15:15" x14ac:dyDescent="0.25">
      <c r="O1405" s="55" t="str">
        <f t="shared" si="26"/>
        <v>01</v>
      </c>
    </row>
    <row r="1406" spans="15:15" x14ac:dyDescent="0.25">
      <c r="O1406" s="55" t="str">
        <f t="shared" si="26"/>
        <v>01</v>
      </c>
    </row>
    <row r="1407" spans="15:15" x14ac:dyDescent="0.25">
      <c r="O1407" s="55" t="str">
        <f t="shared" si="26"/>
        <v>01</v>
      </c>
    </row>
    <row r="1408" spans="15:15" x14ac:dyDescent="0.25">
      <c r="O1408" s="55" t="str">
        <f t="shared" si="26"/>
        <v>01</v>
      </c>
    </row>
    <row r="1409" spans="15:15" x14ac:dyDescent="0.25">
      <c r="O1409" s="55" t="str">
        <f t="shared" si="26"/>
        <v>01</v>
      </c>
    </row>
    <row r="1410" spans="15:15" x14ac:dyDescent="0.25">
      <c r="O1410" s="55" t="str">
        <f t="shared" si="26"/>
        <v>01</v>
      </c>
    </row>
    <row r="1411" spans="15:15" x14ac:dyDescent="0.25">
      <c r="O1411" s="55" t="str">
        <f t="shared" si="26"/>
        <v>01</v>
      </c>
    </row>
    <row r="1412" spans="15:15" x14ac:dyDescent="0.25">
      <c r="O1412" s="55" t="str">
        <f t="shared" si="26"/>
        <v>01</v>
      </c>
    </row>
    <row r="1413" spans="15:15" x14ac:dyDescent="0.25">
      <c r="O1413" s="55" t="str">
        <f t="shared" si="26"/>
        <v>01</v>
      </c>
    </row>
    <row r="1414" spans="15:15" x14ac:dyDescent="0.25">
      <c r="O1414" s="55" t="str">
        <f t="shared" si="26"/>
        <v>01</v>
      </c>
    </row>
    <row r="1415" spans="15:15" x14ac:dyDescent="0.25">
      <c r="O1415" s="55" t="str">
        <f t="shared" si="26"/>
        <v>01</v>
      </c>
    </row>
    <row r="1416" spans="15:15" x14ac:dyDescent="0.25">
      <c r="O1416" s="55" t="str">
        <f t="shared" si="26"/>
        <v>01</v>
      </c>
    </row>
    <row r="1417" spans="15:15" x14ac:dyDescent="0.25">
      <c r="O1417" s="55" t="str">
        <f t="shared" si="26"/>
        <v>01</v>
      </c>
    </row>
    <row r="1418" spans="15:15" x14ac:dyDescent="0.25">
      <c r="O1418" s="55" t="str">
        <f t="shared" si="26"/>
        <v>01</v>
      </c>
    </row>
    <row r="1419" spans="15:15" x14ac:dyDescent="0.25">
      <c r="O1419" s="55" t="str">
        <f t="shared" si="26"/>
        <v>01</v>
      </c>
    </row>
    <row r="1420" spans="15:15" x14ac:dyDescent="0.25">
      <c r="O1420" s="55" t="str">
        <f t="shared" si="26"/>
        <v>01</v>
      </c>
    </row>
    <row r="1421" spans="15:15" x14ac:dyDescent="0.25">
      <c r="O1421" s="55" t="str">
        <f t="shared" si="26"/>
        <v>01</v>
      </c>
    </row>
    <row r="1422" spans="15:15" x14ac:dyDescent="0.25">
      <c r="O1422" s="55" t="str">
        <f t="shared" si="26"/>
        <v>01</v>
      </c>
    </row>
    <row r="1423" spans="15:15" x14ac:dyDescent="0.25">
      <c r="O1423" s="55" t="str">
        <f t="shared" si="26"/>
        <v>01</v>
      </c>
    </row>
    <row r="1424" spans="15:15" x14ac:dyDescent="0.25">
      <c r="O1424" s="55" t="str">
        <f t="shared" si="26"/>
        <v>01</v>
      </c>
    </row>
    <row r="1425" spans="15:15" x14ac:dyDescent="0.25">
      <c r="O1425" s="55" t="str">
        <f t="shared" si="26"/>
        <v>01</v>
      </c>
    </row>
    <row r="1426" spans="15:15" x14ac:dyDescent="0.25">
      <c r="O1426" s="55" t="str">
        <f t="shared" si="26"/>
        <v>01</v>
      </c>
    </row>
    <row r="1427" spans="15:15" x14ac:dyDescent="0.25">
      <c r="O1427" s="55" t="str">
        <f t="shared" si="26"/>
        <v>01</v>
      </c>
    </row>
    <row r="1428" spans="15:15" x14ac:dyDescent="0.25">
      <c r="O1428" s="55" t="str">
        <f t="shared" si="26"/>
        <v>01</v>
      </c>
    </row>
    <row r="1429" spans="15:15" x14ac:dyDescent="0.25">
      <c r="O1429" s="55" t="str">
        <f t="shared" si="26"/>
        <v>01</v>
      </c>
    </row>
    <row r="1430" spans="15:15" x14ac:dyDescent="0.25">
      <c r="O1430" s="55" t="str">
        <f t="shared" si="26"/>
        <v>01</v>
      </c>
    </row>
    <row r="1431" spans="15:15" x14ac:dyDescent="0.25">
      <c r="O1431" s="55" t="str">
        <f t="shared" si="26"/>
        <v>01</v>
      </c>
    </row>
    <row r="1432" spans="15:15" x14ac:dyDescent="0.25">
      <c r="O1432" s="55" t="str">
        <f t="shared" si="26"/>
        <v>01</v>
      </c>
    </row>
    <row r="1433" spans="15:15" x14ac:dyDescent="0.25">
      <c r="O1433" s="55" t="str">
        <f t="shared" si="26"/>
        <v>01</v>
      </c>
    </row>
    <row r="1434" spans="15:15" x14ac:dyDescent="0.25">
      <c r="O1434" s="55" t="str">
        <f t="shared" ref="O1434:O1497" si="27">+TEXT(H1434,"MM")</f>
        <v>01</v>
      </c>
    </row>
    <row r="1435" spans="15:15" x14ac:dyDescent="0.25">
      <c r="O1435" s="55" t="str">
        <f t="shared" si="27"/>
        <v>01</v>
      </c>
    </row>
    <row r="1436" spans="15:15" x14ac:dyDescent="0.25">
      <c r="O1436" s="55" t="str">
        <f t="shared" si="27"/>
        <v>01</v>
      </c>
    </row>
    <row r="1437" spans="15:15" x14ac:dyDescent="0.25">
      <c r="O1437" s="55" t="str">
        <f t="shared" si="27"/>
        <v>01</v>
      </c>
    </row>
    <row r="1438" spans="15:15" x14ac:dyDescent="0.25">
      <c r="O1438" s="55" t="str">
        <f t="shared" si="27"/>
        <v>01</v>
      </c>
    </row>
    <row r="1439" spans="15:15" x14ac:dyDescent="0.25">
      <c r="O1439" s="55" t="str">
        <f t="shared" si="27"/>
        <v>01</v>
      </c>
    </row>
    <row r="1440" spans="15:15" x14ac:dyDescent="0.25">
      <c r="O1440" s="55" t="str">
        <f t="shared" si="27"/>
        <v>01</v>
      </c>
    </row>
    <row r="1441" spans="15:15" x14ac:dyDescent="0.25">
      <c r="O1441" s="55" t="str">
        <f t="shared" si="27"/>
        <v>01</v>
      </c>
    </row>
    <row r="1442" spans="15:15" x14ac:dyDescent="0.25">
      <c r="O1442" s="55" t="str">
        <f t="shared" si="27"/>
        <v>01</v>
      </c>
    </row>
    <row r="1443" spans="15:15" x14ac:dyDescent="0.25">
      <c r="O1443" s="55" t="str">
        <f t="shared" si="27"/>
        <v>01</v>
      </c>
    </row>
    <row r="1444" spans="15:15" x14ac:dyDescent="0.25">
      <c r="O1444" s="55" t="str">
        <f t="shared" si="27"/>
        <v>01</v>
      </c>
    </row>
    <row r="1445" spans="15:15" x14ac:dyDescent="0.25">
      <c r="O1445" s="55" t="str">
        <f t="shared" si="27"/>
        <v>01</v>
      </c>
    </row>
    <row r="1446" spans="15:15" x14ac:dyDescent="0.25">
      <c r="O1446" s="55" t="str">
        <f t="shared" si="27"/>
        <v>01</v>
      </c>
    </row>
    <row r="1447" spans="15:15" x14ac:dyDescent="0.25">
      <c r="O1447" s="55" t="str">
        <f t="shared" si="27"/>
        <v>01</v>
      </c>
    </row>
    <row r="1448" spans="15:15" x14ac:dyDescent="0.25">
      <c r="O1448" s="55" t="str">
        <f t="shared" si="27"/>
        <v>01</v>
      </c>
    </row>
    <row r="1449" spans="15:15" x14ac:dyDescent="0.25">
      <c r="O1449" s="55" t="str">
        <f t="shared" si="27"/>
        <v>01</v>
      </c>
    </row>
    <row r="1450" spans="15:15" x14ac:dyDescent="0.25">
      <c r="O1450" s="55" t="str">
        <f t="shared" si="27"/>
        <v>01</v>
      </c>
    </row>
    <row r="1451" spans="15:15" x14ac:dyDescent="0.25">
      <c r="O1451" s="55" t="str">
        <f t="shared" si="27"/>
        <v>01</v>
      </c>
    </row>
    <row r="1452" spans="15:15" x14ac:dyDescent="0.25">
      <c r="O1452" s="55" t="str">
        <f t="shared" si="27"/>
        <v>01</v>
      </c>
    </row>
    <row r="1453" spans="15:15" x14ac:dyDescent="0.25">
      <c r="O1453" s="55" t="str">
        <f t="shared" si="27"/>
        <v>01</v>
      </c>
    </row>
    <row r="1454" spans="15:15" x14ac:dyDescent="0.25">
      <c r="O1454" s="55" t="str">
        <f t="shared" si="27"/>
        <v>01</v>
      </c>
    </row>
    <row r="1455" spans="15:15" x14ac:dyDescent="0.25">
      <c r="O1455" s="55" t="str">
        <f t="shared" si="27"/>
        <v>01</v>
      </c>
    </row>
    <row r="1456" spans="15:15" x14ac:dyDescent="0.25">
      <c r="O1456" s="55" t="str">
        <f t="shared" si="27"/>
        <v>01</v>
      </c>
    </row>
    <row r="1457" spans="15:15" x14ac:dyDescent="0.25">
      <c r="O1457" s="55" t="str">
        <f t="shared" si="27"/>
        <v>01</v>
      </c>
    </row>
    <row r="1458" spans="15:15" x14ac:dyDescent="0.25">
      <c r="O1458" s="55" t="str">
        <f t="shared" si="27"/>
        <v>01</v>
      </c>
    </row>
    <row r="1459" spans="15:15" x14ac:dyDescent="0.25">
      <c r="O1459" s="55" t="str">
        <f t="shared" si="27"/>
        <v>01</v>
      </c>
    </row>
    <row r="1460" spans="15:15" x14ac:dyDescent="0.25">
      <c r="O1460" s="55" t="str">
        <f t="shared" si="27"/>
        <v>01</v>
      </c>
    </row>
    <row r="1461" spans="15:15" x14ac:dyDescent="0.25">
      <c r="O1461" s="55" t="str">
        <f t="shared" si="27"/>
        <v>01</v>
      </c>
    </row>
    <row r="1462" spans="15:15" x14ac:dyDescent="0.25">
      <c r="O1462" s="55" t="str">
        <f t="shared" si="27"/>
        <v>01</v>
      </c>
    </row>
    <row r="1463" spans="15:15" x14ac:dyDescent="0.25">
      <c r="O1463" s="55" t="str">
        <f t="shared" si="27"/>
        <v>01</v>
      </c>
    </row>
    <row r="1464" spans="15:15" x14ac:dyDescent="0.25">
      <c r="O1464" s="55" t="str">
        <f t="shared" si="27"/>
        <v>01</v>
      </c>
    </row>
    <row r="1465" spans="15:15" x14ac:dyDescent="0.25">
      <c r="O1465" s="55" t="str">
        <f t="shared" si="27"/>
        <v>01</v>
      </c>
    </row>
    <row r="1466" spans="15:15" x14ac:dyDescent="0.25">
      <c r="O1466" s="55" t="str">
        <f t="shared" si="27"/>
        <v>01</v>
      </c>
    </row>
    <row r="1467" spans="15:15" x14ac:dyDescent="0.25">
      <c r="O1467" s="55" t="str">
        <f t="shared" si="27"/>
        <v>01</v>
      </c>
    </row>
    <row r="1468" spans="15:15" x14ac:dyDescent="0.25">
      <c r="O1468" s="55" t="str">
        <f t="shared" si="27"/>
        <v>01</v>
      </c>
    </row>
    <row r="1469" spans="15:15" x14ac:dyDescent="0.25">
      <c r="O1469" s="55" t="str">
        <f t="shared" si="27"/>
        <v>01</v>
      </c>
    </row>
    <row r="1470" spans="15:15" x14ac:dyDescent="0.25">
      <c r="O1470" s="55" t="str">
        <f t="shared" si="27"/>
        <v>01</v>
      </c>
    </row>
    <row r="1471" spans="15:15" x14ac:dyDescent="0.25">
      <c r="O1471" s="55" t="str">
        <f t="shared" si="27"/>
        <v>01</v>
      </c>
    </row>
    <row r="1472" spans="15:15" x14ac:dyDescent="0.25">
      <c r="O1472" s="55" t="str">
        <f t="shared" si="27"/>
        <v>01</v>
      </c>
    </row>
    <row r="1473" spans="15:15" x14ac:dyDescent="0.25">
      <c r="O1473" s="55" t="str">
        <f t="shared" si="27"/>
        <v>01</v>
      </c>
    </row>
    <row r="1474" spans="15:15" x14ac:dyDescent="0.25">
      <c r="O1474" s="55" t="str">
        <f t="shared" si="27"/>
        <v>01</v>
      </c>
    </row>
    <row r="1475" spans="15:15" x14ac:dyDescent="0.25">
      <c r="O1475" s="55" t="str">
        <f t="shared" si="27"/>
        <v>01</v>
      </c>
    </row>
    <row r="1476" spans="15:15" x14ac:dyDescent="0.25">
      <c r="O1476" s="55" t="str">
        <f t="shared" si="27"/>
        <v>01</v>
      </c>
    </row>
    <row r="1477" spans="15:15" x14ac:dyDescent="0.25">
      <c r="O1477" s="55" t="str">
        <f t="shared" si="27"/>
        <v>01</v>
      </c>
    </row>
    <row r="1478" spans="15:15" x14ac:dyDescent="0.25">
      <c r="O1478" s="55" t="str">
        <f t="shared" si="27"/>
        <v>01</v>
      </c>
    </row>
    <row r="1479" spans="15:15" x14ac:dyDescent="0.25">
      <c r="O1479" s="55" t="str">
        <f t="shared" si="27"/>
        <v>01</v>
      </c>
    </row>
    <row r="1480" spans="15:15" x14ac:dyDescent="0.25">
      <c r="O1480" s="55" t="str">
        <f t="shared" si="27"/>
        <v>01</v>
      </c>
    </row>
    <row r="1481" spans="15:15" x14ac:dyDescent="0.25">
      <c r="O1481" s="55" t="str">
        <f t="shared" si="27"/>
        <v>01</v>
      </c>
    </row>
    <row r="1482" spans="15:15" x14ac:dyDescent="0.25">
      <c r="O1482" s="55" t="str">
        <f t="shared" si="27"/>
        <v>01</v>
      </c>
    </row>
    <row r="1483" spans="15:15" x14ac:dyDescent="0.25">
      <c r="O1483" s="55" t="str">
        <f t="shared" si="27"/>
        <v>01</v>
      </c>
    </row>
    <row r="1484" spans="15:15" x14ac:dyDescent="0.25">
      <c r="O1484" s="55" t="str">
        <f t="shared" si="27"/>
        <v>01</v>
      </c>
    </row>
    <row r="1485" spans="15:15" x14ac:dyDescent="0.25">
      <c r="O1485" s="55" t="str">
        <f t="shared" si="27"/>
        <v>01</v>
      </c>
    </row>
    <row r="1486" spans="15:15" x14ac:dyDescent="0.25">
      <c r="O1486" s="55" t="str">
        <f t="shared" si="27"/>
        <v>01</v>
      </c>
    </row>
    <row r="1487" spans="15:15" x14ac:dyDescent="0.25">
      <c r="O1487" s="55" t="str">
        <f t="shared" si="27"/>
        <v>01</v>
      </c>
    </row>
    <row r="1488" spans="15:15" x14ac:dyDescent="0.25">
      <c r="O1488" s="55" t="str">
        <f t="shared" si="27"/>
        <v>01</v>
      </c>
    </row>
    <row r="1489" spans="15:15" x14ac:dyDescent="0.25">
      <c r="O1489" s="55" t="str">
        <f t="shared" si="27"/>
        <v>01</v>
      </c>
    </row>
    <row r="1490" spans="15:15" x14ac:dyDescent="0.25">
      <c r="O1490" s="55" t="str">
        <f t="shared" si="27"/>
        <v>01</v>
      </c>
    </row>
    <row r="1491" spans="15:15" x14ac:dyDescent="0.25">
      <c r="O1491" s="55" t="str">
        <f t="shared" si="27"/>
        <v>01</v>
      </c>
    </row>
    <row r="1492" spans="15:15" x14ac:dyDescent="0.25">
      <c r="O1492" s="55" t="str">
        <f t="shared" si="27"/>
        <v>01</v>
      </c>
    </row>
    <row r="1493" spans="15:15" x14ac:dyDescent="0.25">
      <c r="O1493" s="55" t="str">
        <f t="shared" si="27"/>
        <v>01</v>
      </c>
    </row>
    <row r="1494" spans="15:15" x14ac:dyDescent="0.25">
      <c r="O1494" s="55" t="str">
        <f t="shared" si="27"/>
        <v>01</v>
      </c>
    </row>
    <row r="1495" spans="15:15" x14ac:dyDescent="0.25">
      <c r="O1495" s="55" t="str">
        <f t="shared" si="27"/>
        <v>01</v>
      </c>
    </row>
    <row r="1496" spans="15:15" x14ac:dyDescent="0.25">
      <c r="O1496" s="55" t="str">
        <f t="shared" si="27"/>
        <v>01</v>
      </c>
    </row>
    <row r="1497" spans="15:15" x14ac:dyDescent="0.25">
      <c r="O1497" s="55" t="str">
        <f t="shared" si="27"/>
        <v>01</v>
      </c>
    </row>
    <row r="1498" spans="15:15" x14ac:dyDescent="0.25">
      <c r="O1498" s="55" t="str">
        <f t="shared" ref="O1498:O1561" si="28">+TEXT(H1498,"MM")</f>
        <v>01</v>
      </c>
    </row>
    <row r="1499" spans="15:15" x14ac:dyDescent="0.25">
      <c r="O1499" s="55" t="str">
        <f t="shared" si="28"/>
        <v>01</v>
      </c>
    </row>
    <row r="1500" spans="15:15" x14ac:dyDescent="0.25">
      <c r="O1500" s="55" t="str">
        <f t="shared" si="28"/>
        <v>01</v>
      </c>
    </row>
    <row r="1501" spans="15:15" x14ac:dyDescent="0.25">
      <c r="O1501" s="55" t="str">
        <f t="shared" si="28"/>
        <v>01</v>
      </c>
    </row>
    <row r="1502" spans="15:15" x14ac:dyDescent="0.25">
      <c r="O1502" s="55" t="str">
        <f t="shared" si="28"/>
        <v>01</v>
      </c>
    </row>
    <row r="1503" spans="15:15" x14ac:dyDescent="0.25">
      <c r="O1503" s="55" t="str">
        <f t="shared" si="28"/>
        <v>01</v>
      </c>
    </row>
    <row r="1504" spans="15:15" x14ac:dyDescent="0.25">
      <c r="O1504" s="55" t="str">
        <f t="shared" si="28"/>
        <v>01</v>
      </c>
    </row>
    <row r="1505" spans="15:15" x14ac:dyDescent="0.25">
      <c r="O1505" s="55" t="str">
        <f t="shared" si="28"/>
        <v>01</v>
      </c>
    </row>
    <row r="1506" spans="15:15" x14ac:dyDescent="0.25">
      <c r="O1506" s="55" t="str">
        <f t="shared" si="28"/>
        <v>01</v>
      </c>
    </row>
    <row r="1507" spans="15:15" x14ac:dyDescent="0.25">
      <c r="O1507" s="55" t="str">
        <f t="shared" si="28"/>
        <v>01</v>
      </c>
    </row>
    <row r="1508" spans="15:15" x14ac:dyDescent="0.25">
      <c r="O1508" s="55" t="str">
        <f t="shared" si="28"/>
        <v>01</v>
      </c>
    </row>
    <row r="1509" spans="15:15" x14ac:dyDescent="0.25">
      <c r="O1509" s="55" t="str">
        <f t="shared" si="28"/>
        <v>01</v>
      </c>
    </row>
    <row r="1510" spans="15:15" x14ac:dyDescent="0.25">
      <c r="O1510" s="55" t="str">
        <f t="shared" si="28"/>
        <v>01</v>
      </c>
    </row>
    <row r="1511" spans="15:15" x14ac:dyDescent="0.25">
      <c r="O1511" s="55" t="str">
        <f t="shared" si="28"/>
        <v>01</v>
      </c>
    </row>
    <row r="1512" spans="15:15" x14ac:dyDescent="0.25">
      <c r="O1512" s="55" t="str">
        <f t="shared" si="28"/>
        <v>01</v>
      </c>
    </row>
    <row r="1513" spans="15:15" x14ac:dyDescent="0.25">
      <c r="O1513" s="55" t="str">
        <f t="shared" si="28"/>
        <v>01</v>
      </c>
    </row>
    <row r="1514" spans="15:15" x14ac:dyDescent="0.25">
      <c r="O1514" s="55" t="str">
        <f t="shared" si="28"/>
        <v>01</v>
      </c>
    </row>
    <row r="1515" spans="15:15" x14ac:dyDescent="0.25">
      <c r="O1515" s="55" t="str">
        <f t="shared" si="28"/>
        <v>01</v>
      </c>
    </row>
    <row r="1516" spans="15:15" x14ac:dyDescent="0.25">
      <c r="O1516" s="55" t="str">
        <f t="shared" si="28"/>
        <v>01</v>
      </c>
    </row>
    <row r="1517" spans="15:15" x14ac:dyDescent="0.25">
      <c r="O1517" s="55" t="str">
        <f t="shared" si="28"/>
        <v>01</v>
      </c>
    </row>
    <row r="1518" spans="15:15" x14ac:dyDescent="0.25">
      <c r="O1518" s="55" t="str">
        <f t="shared" si="28"/>
        <v>01</v>
      </c>
    </row>
    <row r="1519" spans="15:15" x14ac:dyDescent="0.25">
      <c r="O1519" s="55" t="str">
        <f t="shared" si="28"/>
        <v>01</v>
      </c>
    </row>
    <row r="1520" spans="15:15" x14ac:dyDescent="0.25">
      <c r="O1520" s="55" t="str">
        <f t="shared" si="28"/>
        <v>01</v>
      </c>
    </row>
    <row r="1521" spans="15:15" x14ac:dyDescent="0.25">
      <c r="O1521" s="55" t="str">
        <f t="shared" si="28"/>
        <v>01</v>
      </c>
    </row>
    <row r="1522" spans="15:15" x14ac:dyDescent="0.25">
      <c r="O1522" s="55" t="str">
        <f t="shared" si="28"/>
        <v>01</v>
      </c>
    </row>
    <row r="1523" spans="15:15" x14ac:dyDescent="0.25">
      <c r="O1523" s="55" t="str">
        <f t="shared" si="28"/>
        <v>01</v>
      </c>
    </row>
    <row r="1524" spans="15:15" x14ac:dyDescent="0.25">
      <c r="O1524" s="55" t="str">
        <f t="shared" si="28"/>
        <v>01</v>
      </c>
    </row>
    <row r="1525" spans="15:15" x14ac:dyDescent="0.25">
      <c r="O1525" s="55" t="str">
        <f t="shared" si="28"/>
        <v>01</v>
      </c>
    </row>
    <row r="1526" spans="15:15" x14ac:dyDescent="0.25">
      <c r="O1526" s="55" t="str">
        <f t="shared" si="28"/>
        <v>01</v>
      </c>
    </row>
    <row r="1527" spans="15:15" x14ac:dyDescent="0.25">
      <c r="O1527" s="55" t="str">
        <f t="shared" si="28"/>
        <v>01</v>
      </c>
    </row>
    <row r="1528" spans="15:15" x14ac:dyDescent="0.25">
      <c r="O1528" s="55" t="str">
        <f t="shared" si="28"/>
        <v>01</v>
      </c>
    </row>
    <row r="1529" spans="15:15" x14ac:dyDescent="0.25">
      <c r="O1529" s="55" t="str">
        <f t="shared" si="28"/>
        <v>01</v>
      </c>
    </row>
    <row r="1530" spans="15:15" x14ac:dyDescent="0.25">
      <c r="O1530" s="55" t="str">
        <f t="shared" si="28"/>
        <v>01</v>
      </c>
    </row>
    <row r="1531" spans="15:15" x14ac:dyDescent="0.25">
      <c r="O1531" s="55" t="str">
        <f t="shared" si="28"/>
        <v>01</v>
      </c>
    </row>
    <row r="1532" spans="15:15" x14ac:dyDescent="0.25">
      <c r="O1532" s="55" t="str">
        <f t="shared" si="28"/>
        <v>01</v>
      </c>
    </row>
    <row r="1533" spans="15:15" x14ac:dyDescent="0.25">
      <c r="O1533" s="55" t="str">
        <f t="shared" si="28"/>
        <v>01</v>
      </c>
    </row>
    <row r="1534" spans="15:15" x14ac:dyDescent="0.25">
      <c r="O1534" s="55" t="str">
        <f t="shared" si="28"/>
        <v>01</v>
      </c>
    </row>
    <row r="1535" spans="15:15" x14ac:dyDescent="0.25">
      <c r="O1535" s="55" t="str">
        <f t="shared" si="28"/>
        <v>01</v>
      </c>
    </row>
    <row r="1536" spans="15:15" x14ac:dyDescent="0.25">
      <c r="O1536" s="55" t="str">
        <f t="shared" si="28"/>
        <v>01</v>
      </c>
    </row>
    <row r="1537" spans="15:15" x14ac:dyDescent="0.25">
      <c r="O1537" s="55" t="str">
        <f t="shared" si="28"/>
        <v>01</v>
      </c>
    </row>
    <row r="1538" spans="15:15" x14ac:dyDescent="0.25">
      <c r="O1538" s="55" t="str">
        <f t="shared" si="28"/>
        <v>01</v>
      </c>
    </row>
    <row r="1539" spans="15:15" x14ac:dyDescent="0.25">
      <c r="O1539" s="55" t="str">
        <f t="shared" si="28"/>
        <v>01</v>
      </c>
    </row>
    <row r="1540" spans="15:15" x14ac:dyDescent="0.25">
      <c r="O1540" s="55" t="str">
        <f t="shared" si="28"/>
        <v>01</v>
      </c>
    </row>
    <row r="1541" spans="15:15" x14ac:dyDescent="0.25">
      <c r="O1541" s="55" t="str">
        <f t="shared" si="28"/>
        <v>01</v>
      </c>
    </row>
    <row r="1542" spans="15:15" x14ac:dyDescent="0.25">
      <c r="O1542" s="55" t="str">
        <f t="shared" si="28"/>
        <v>01</v>
      </c>
    </row>
    <row r="1543" spans="15:15" x14ac:dyDescent="0.25">
      <c r="O1543" s="55" t="str">
        <f t="shared" si="28"/>
        <v>01</v>
      </c>
    </row>
    <row r="1544" spans="15:15" x14ac:dyDescent="0.25">
      <c r="O1544" s="55" t="str">
        <f t="shared" si="28"/>
        <v>01</v>
      </c>
    </row>
    <row r="1545" spans="15:15" x14ac:dyDescent="0.25">
      <c r="O1545" s="55" t="str">
        <f t="shared" si="28"/>
        <v>01</v>
      </c>
    </row>
    <row r="1546" spans="15:15" x14ac:dyDescent="0.25">
      <c r="O1546" s="55" t="str">
        <f t="shared" si="28"/>
        <v>01</v>
      </c>
    </row>
    <row r="1547" spans="15:15" x14ac:dyDescent="0.25">
      <c r="O1547" s="55" t="str">
        <f t="shared" si="28"/>
        <v>01</v>
      </c>
    </row>
    <row r="1548" spans="15:15" x14ac:dyDescent="0.25">
      <c r="O1548" s="55" t="str">
        <f t="shared" si="28"/>
        <v>01</v>
      </c>
    </row>
    <row r="1549" spans="15:15" x14ac:dyDescent="0.25">
      <c r="O1549" s="55" t="str">
        <f t="shared" si="28"/>
        <v>01</v>
      </c>
    </row>
    <row r="1550" spans="15:15" x14ac:dyDescent="0.25">
      <c r="O1550" s="55" t="str">
        <f t="shared" si="28"/>
        <v>01</v>
      </c>
    </row>
    <row r="1551" spans="15:15" x14ac:dyDescent="0.25">
      <c r="O1551" s="55" t="str">
        <f t="shared" si="28"/>
        <v>01</v>
      </c>
    </row>
    <row r="1552" spans="15:15" x14ac:dyDescent="0.25">
      <c r="O1552" s="55" t="str">
        <f t="shared" si="28"/>
        <v>01</v>
      </c>
    </row>
    <row r="1553" spans="15:15" x14ac:dyDescent="0.25">
      <c r="O1553" s="55" t="str">
        <f t="shared" si="28"/>
        <v>01</v>
      </c>
    </row>
    <row r="1554" spans="15:15" x14ac:dyDescent="0.25">
      <c r="O1554" s="55" t="str">
        <f t="shared" si="28"/>
        <v>01</v>
      </c>
    </row>
    <row r="1555" spans="15:15" x14ac:dyDescent="0.25">
      <c r="O1555" s="55" t="str">
        <f t="shared" si="28"/>
        <v>01</v>
      </c>
    </row>
    <row r="1556" spans="15:15" x14ac:dyDescent="0.25">
      <c r="O1556" s="55" t="str">
        <f t="shared" si="28"/>
        <v>01</v>
      </c>
    </row>
    <row r="1557" spans="15:15" x14ac:dyDescent="0.25">
      <c r="O1557" s="55" t="str">
        <f t="shared" si="28"/>
        <v>01</v>
      </c>
    </row>
    <row r="1558" spans="15:15" x14ac:dyDescent="0.25">
      <c r="O1558" s="55" t="str">
        <f t="shared" si="28"/>
        <v>01</v>
      </c>
    </row>
    <row r="1559" spans="15:15" x14ac:dyDescent="0.25">
      <c r="O1559" s="55" t="str">
        <f t="shared" si="28"/>
        <v>01</v>
      </c>
    </row>
    <row r="1560" spans="15:15" x14ac:dyDescent="0.25">
      <c r="O1560" s="55" t="str">
        <f t="shared" si="28"/>
        <v>01</v>
      </c>
    </row>
    <row r="1561" spans="15:15" x14ac:dyDescent="0.25">
      <c r="O1561" s="55" t="str">
        <f t="shared" si="28"/>
        <v>01</v>
      </c>
    </row>
    <row r="1562" spans="15:15" x14ac:dyDescent="0.25">
      <c r="O1562" s="55" t="str">
        <f t="shared" ref="O1562:O1625" si="29">+TEXT(H1562,"MM")</f>
        <v>01</v>
      </c>
    </row>
    <row r="1563" spans="15:15" x14ac:dyDescent="0.25">
      <c r="O1563" s="55" t="str">
        <f t="shared" si="29"/>
        <v>01</v>
      </c>
    </row>
    <row r="1564" spans="15:15" x14ac:dyDescent="0.25">
      <c r="O1564" s="55" t="str">
        <f t="shared" si="29"/>
        <v>01</v>
      </c>
    </row>
    <row r="1565" spans="15:15" x14ac:dyDescent="0.25">
      <c r="O1565" s="55" t="str">
        <f t="shared" si="29"/>
        <v>01</v>
      </c>
    </row>
    <row r="1566" spans="15:15" x14ac:dyDescent="0.25">
      <c r="O1566" s="55" t="str">
        <f t="shared" si="29"/>
        <v>01</v>
      </c>
    </row>
    <row r="1567" spans="15:15" x14ac:dyDescent="0.25">
      <c r="O1567" s="55" t="str">
        <f t="shared" si="29"/>
        <v>01</v>
      </c>
    </row>
    <row r="1568" spans="15:15" x14ac:dyDescent="0.25">
      <c r="O1568" s="55" t="str">
        <f t="shared" si="29"/>
        <v>01</v>
      </c>
    </row>
    <row r="1569" spans="15:15" x14ac:dyDescent="0.25">
      <c r="O1569" s="55" t="str">
        <f t="shared" si="29"/>
        <v>01</v>
      </c>
    </row>
    <row r="1570" spans="15:15" x14ac:dyDescent="0.25">
      <c r="O1570" s="55" t="str">
        <f t="shared" si="29"/>
        <v>01</v>
      </c>
    </row>
    <row r="1571" spans="15:15" x14ac:dyDescent="0.25">
      <c r="O1571" s="55" t="str">
        <f t="shared" si="29"/>
        <v>01</v>
      </c>
    </row>
    <row r="1572" spans="15:15" x14ac:dyDescent="0.25">
      <c r="O1572" s="55" t="str">
        <f t="shared" si="29"/>
        <v>01</v>
      </c>
    </row>
    <row r="1573" spans="15:15" x14ac:dyDescent="0.25">
      <c r="O1573" s="55" t="str">
        <f t="shared" si="29"/>
        <v>01</v>
      </c>
    </row>
    <row r="1574" spans="15:15" x14ac:dyDescent="0.25">
      <c r="O1574" s="55" t="str">
        <f t="shared" si="29"/>
        <v>01</v>
      </c>
    </row>
    <row r="1575" spans="15:15" x14ac:dyDescent="0.25">
      <c r="O1575" s="55" t="str">
        <f t="shared" si="29"/>
        <v>01</v>
      </c>
    </row>
    <row r="1576" spans="15:15" x14ac:dyDescent="0.25">
      <c r="O1576" s="55" t="str">
        <f t="shared" si="29"/>
        <v>01</v>
      </c>
    </row>
    <row r="1577" spans="15:15" x14ac:dyDescent="0.25">
      <c r="O1577" s="55" t="str">
        <f t="shared" si="29"/>
        <v>01</v>
      </c>
    </row>
    <row r="1578" spans="15:15" x14ac:dyDescent="0.25">
      <c r="O1578" s="55" t="str">
        <f t="shared" si="29"/>
        <v>01</v>
      </c>
    </row>
    <row r="1579" spans="15:15" x14ac:dyDescent="0.25">
      <c r="O1579" s="55" t="str">
        <f t="shared" si="29"/>
        <v>01</v>
      </c>
    </row>
    <row r="1580" spans="15:15" x14ac:dyDescent="0.25">
      <c r="O1580" s="55" t="str">
        <f t="shared" si="29"/>
        <v>01</v>
      </c>
    </row>
    <row r="1581" spans="15:15" x14ac:dyDescent="0.25">
      <c r="O1581" s="55" t="str">
        <f t="shared" si="29"/>
        <v>01</v>
      </c>
    </row>
    <row r="1582" spans="15:15" x14ac:dyDescent="0.25">
      <c r="O1582" s="55" t="str">
        <f t="shared" si="29"/>
        <v>01</v>
      </c>
    </row>
    <row r="1583" spans="15:15" x14ac:dyDescent="0.25">
      <c r="O1583" s="55" t="str">
        <f t="shared" si="29"/>
        <v>01</v>
      </c>
    </row>
    <row r="1584" spans="15:15" x14ac:dyDescent="0.25">
      <c r="O1584" s="55" t="str">
        <f t="shared" si="29"/>
        <v>01</v>
      </c>
    </row>
    <row r="1585" spans="15:15" x14ac:dyDescent="0.25">
      <c r="O1585" s="55" t="str">
        <f t="shared" si="29"/>
        <v>01</v>
      </c>
    </row>
    <row r="1586" spans="15:15" x14ac:dyDescent="0.25">
      <c r="O1586" s="55" t="str">
        <f t="shared" si="29"/>
        <v>01</v>
      </c>
    </row>
    <row r="1587" spans="15:15" x14ac:dyDescent="0.25">
      <c r="O1587" s="55" t="str">
        <f t="shared" si="29"/>
        <v>01</v>
      </c>
    </row>
    <row r="1588" spans="15:15" x14ac:dyDescent="0.25">
      <c r="O1588" s="55" t="str">
        <f t="shared" si="29"/>
        <v>01</v>
      </c>
    </row>
    <row r="1589" spans="15:15" x14ac:dyDescent="0.25">
      <c r="O1589" s="55" t="str">
        <f t="shared" si="29"/>
        <v>01</v>
      </c>
    </row>
    <row r="1590" spans="15:15" x14ac:dyDescent="0.25">
      <c r="O1590" s="55" t="str">
        <f t="shared" si="29"/>
        <v>01</v>
      </c>
    </row>
    <row r="1591" spans="15:15" x14ac:dyDescent="0.25">
      <c r="O1591" s="55" t="str">
        <f t="shared" si="29"/>
        <v>01</v>
      </c>
    </row>
    <row r="1592" spans="15:15" x14ac:dyDescent="0.25">
      <c r="O1592" s="55" t="str">
        <f t="shared" si="29"/>
        <v>01</v>
      </c>
    </row>
    <row r="1593" spans="15:15" x14ac:dyDescent="0.25">
      <c r="O1593" s="55" t="str">
        <f t="shared" si="29"/>
        <v>01</v>
      </c>
    </row>
    <row r="1594" spans="15:15" x14ac:dyDescent="0.25">
      <c r="O1594" s="55" t="str">
        <f t="shared" si="29"/>
        <v>01</v>
      </c>
    </row>
    <row r="1595" spans="15:15" x14ac:dyDescent="0.25">
      <c r="O1595" s="55" t="str">
        <f t="shared" si="29"/>
        <v>01</v>
      </c>
    </row>
    <row r="1596" spans="15:15" x14ac:dyDescent="0.25">
      <c r="O1596" s="55" t="str">
        <f t="shared" si="29"/>
        <v>01</v>
      </c>
    </row>
    <row r="1597" spans="15:15" x14ac:dyDescent="0.25">
      <c r="O1597" s="55" t="str">
        <f t="shared" si="29"/>
        <v>01</v>
      </c>
    </row>
    <row r="1598" spans="15:15" x14ac:dyDescent="0.25">
      <c r="O1598" s="55" t="str">
        <f t="shared" si="29"/>
        <v>01</v>
      </c>
    </row>
    <row r="1599" spans="15:15" x14ac:dyDescent="0.25">
      <c r="O1599" s="55" t="str">
        <f t="shared" si="29"/>
        <v>01</v>
      </c>
    </row>
    <row r="1600" spans="15:15" x14ac:dyDescent="0.25">
      <c r="O1600" s="55" t="str">
        <f t="shared" si="29"/>
        <v>01</v>
      </c>
    </row>
    <row r="1601" spans="15:15" x14ac:dyDescent="0.25">
      <c r="O1601" s="55" t="str">
        <f t="shared" si="29"/>
        <v>01</v>
      </c>
    </row>
    <row r="1602" spans="15:15" x14ac:dyDescent="0.25">
      <c r="O1602" s="55" t="str">
        <f t="shared" si="29"/>
        <v>01</v>
      </c>
    </row>
    <row r="1603" spans="15:15" x14ac:dyDescent="0.25">
      <c r="O1603" s="55" t="str">
        <f t="shared" si="29"/>
        <v>01</v>
      </c>
    </row>
    <row r="1604" spans="15:15" x14ac:dyDescent="0.25">
      <c r="O1604" s="55" t="str">
        <f t="shared" si="29"/>
        <v>01</v>
      </c>
    </row>
    <row r="1605" spans="15:15" x14ac:dyDescent="0.25">
      <c r="O1605" s="55" t="str">
        <f t="shared" si="29"/>
        <v>01</v>
      </c>
    </row>
    <row r="1606" spans="15:15" x14ac:dyDescent="0.25">
      <c r="O1606" s="55" t="str">
        <f t="shared" si="29"/>
        <v>01</v>
      </c>
    </row>
    <row r="1607" spans="15:15" x14ac:dyDescent="0.25">
      <c r="O1607" s="55" t="str">
        <f t="shared" si="29"/>
        <v>01</v>
      </c>
    </row>
    <row r="1608" spans="15:15" x14ac:dyDescent="0.25">
      <c r="O1608" s="55" t="str">
        <f t="shared" si="29"/>
        <v>01</v>
      </c>
    </row>
    <row r="1609" spans="15:15" x14ac:dyDescent="0.25">
      <c r="O1609" s="55" t="str">
        <f t="shared" si="29"/>
        <v>01</v>
      </c>
    </row>
    <row r="1610" spans="15:15" x14ac:dyDescent="0.25">
      <c r="O1610" s="55" t="str">
        <f t="shared" si="29"/>
        <v>01</v>
      </c>
    </row>
    <row r="1611" spans="15:15" x14ac:dyDescent="0.25">
      <c r="O1611" s="55" t="str">
        <f t="shared" si="29"/>
        <v>01</v>
      </c>
    </row>
    <row r="1612" spans="15:15" x14ac:dyDescent="0.25">
      <c r="O1612" s="55" t="str">
        <f t="shared" si="29"/>
        <v>01</v>
      </c>
    </row>
    <row r="1613" spans="15:15" x14ac:dyDescent="0.25">
      <c r="O1613" s="55" t="str">
        <f t="shared" si="29"/>
        <v>01</v>
      </c>
    </row>
    <row r="1614" spans="15:15" x14ac:dyDescent="0.25">
      <c r="O1614" s="55" t="str">
        <f t="shared" si="29"/>
        <v>01</v>
      </c>
    </row>
    <row r="1615" spans="15:15" x14ac:dyDescent="0.25">
      <c r="O1615" s="55" t="str">
        <f t="shared" si="29"/>
        <v>01</v>
      </c>
    </row>
    <row r="1616" spans="15:15" x14ac:dyDescent="0.25">
      <c r="O1616" s="55" t="str">
        <f t="shared" si="29"/>
        <v>01</v>
      </c>
    </row>
    <row r="1617" spans="15:15" x14ac:dyDescent="0.25">
      <c r="O1617" s="55" t="str">
        <f t="shared" si="29"/>
        <v>01</v>
      </c>
    </row>
    <row r="1618" spans="15:15" x14ac:dyDescent="0.25">
      <c r="O1618" s="55" t="str">
        <f t="shared" si="29"/>
        <v>01</v>
      </c>
    </row>
    <row r="1619" spans="15:15" x14ac:dyDescent="0.25">
      <c r="O1619" s="55" t="str">
        <f t="shared" si="29"/>
        <v>01</v>
      </c>
    </row>
    <row r="1620" spans="15:15" x14ac:dyDescent="0.25">
      <c r="O1620" s="55" t="str">
        <f t="shared" si="29"/>
        <v>01</v>
      </c>
    </row>
    <row r="1621" spans="15:15" x14ac:dyDescent="0.25">
      <c r="O1621" s="55" t="str">
        <f t="shared" si="29"/>
        <v>01</v>
      </c>
    </row>
    <row r="1622" spans="15:15" x14ac:dyDescent="0.25">
      <c r="O1622" s="55" t="str">
        <f t="shared" si="29"/>
        <v>01</v>
      </c>
    </row>
    <row r="1623" spans="15:15" x14ac:dyDescent="0.25">
      <c r="O1623" s="55" t="str">
        <f t="shared" si="29"/>
        <v>01</v>
      </c>
    </row>
    <row r="1624" spans="15:15" x14ac:dyDescent="0.25">
      <c r="O1624" s="55" t="str">
        <f t="shared" si="29"/>
        <v>01</v>
      </c>
    </row>
    <row r="1625" spans="15:15" x14ac:dyDescent="0.25">
      <c r="O1625" s="55" t="str">
        <f t="shared" si="29"/>
        <v>01</v>
      </c>
    </row>
    <row r="1626" spans="15:15" x14ac:dyDescent="0.25">
      <c r="O1626" s="55" t="str">
        <f t="shared" ref="O1626:O1689" si="30">+TEXT(H1626,"MM")</f>
        <v>01</v>
      </c>
    </row>
    <row r="1627" spans="15:15" x14ac:dyDescent="0.25">
      <c r="O1627" s="55" t="str">
        <f t="shared" si="30"/>
        <v>01</v>
      </c>
    </row>
    <row r="1628" spans="15:15" x14ac:dyDescent="0.25">
      <c r="O1628" s="55" t="str">
        <f t="shared" si="30"/>
        <v>01</v>
      </c>
    </row>
    <row r="1629" spans="15:15" x14ac:dyDescent="0.25">
      <c r="O1629" s="55" t="str">
        <f t="shared" si="30"/>
        <v>01</v>
      </c>
    </row>
    <row r="1630" spans="15:15" x14ac:dyDescent="0.25">
      <c r="O1630" s="55" t="str">
        <f t="shared" si="30"/>
        <v>01</v>
      </c>
    </row>
    <row r="1631" spans="15:15" x14ac:dyDescent="0.25">
      <c r="O1631" s="55" t="str">
        <f t="shared" si="30"/>
        <v>01</v>
      </c>
    </row>
    <row r="1632" spans="15:15" x14ac:dyDescent="0.25">
      <c r="O1632" s="55" t="str">
        <f t="shared" si="30"/>
        <v>01</v>
      </c>
    </row>
    <row r="1633" spans="15:15" x14ac:dyDescent="0.25">
      <c r="O1633" s="55" t="str">
        <f t="shared" si="30"/>
        <v>01</v>
      </c>
    </row>
    <row r="1634" spans="15:15" x14ac:dyDescent="0.25">
      <c r="O1634" s="55" t="str">
        <f t="shared" si="30"/>
        <v>01</v>
      </c>
    </row>
    <row r="1635" spans="15:15" x14ac:dyDescent="0.25">
      <c r="O1635" s="55" t="str">
        <f t="shared" si="30"/>
        <v>01</v>
      </c>
    </row>
    <row r="1636" spans="15:15" x14ac:dyDescent="0.25">
      <c r="O1636" s="55" t="str">
        <f t="shared" si="30"/>
        <v>01</v>
      </c>
    </row>
    <row r="1637" spans="15:15" x14ac:dyDescent="0.25">
      <c r="O1637" s="55" t="str">
        <f t="shared" si="30"/>
        <v>01</v>
      </c>
    </row>
    <row r="1638" spans="15:15" x14ac:dyDescent="0.25">
      <c r="O1638" s="55" t="str">
        <f t="shared" si="30"/>
        <v>01</v>
      </c>
    </row>
    <row r="1639" spans="15:15" x14ac:dyDescent="0.25">
      <c r="O1639" s="55" t="str">
        <f t="shared" si="30"/>
        <v>01</v>
      </c>
    </row>
    <row r="1640" spans="15:15" x14ac:dyDescent="0.25">
      <c r="O1640" s="55" t="str">
        <f t="shared" si="30"/>
        <v>01</v>
      </c>
    </row>
    <row r="1641" spans="15:15" x14ac:dyDescent="0.25">
      <c r="O1641" s="55" t="str">
        <f t="shared" si="30"/>
        <v>01</v>
      </c>
    </row>
    <row r="1642" spans="15:15" x14ac:dyDescent="0.25">
      <c r="O1642" s="55" t="str">
        <f t="shared" si="30"/>
        <v>01</v>
      </c>
    </row>
    <row r="1643" spans="15:15" x14ac:dyDescent="0.25">
      <c r="O1643" s="55" t="str">
        <f t="shared" si="30"/>
        <v>01</v>
      </c>
    </row>
    <row r="1644" spans="15:15" x14ac:dyDescent="0.25">
      <c r="O1644" s="55" t="str">
        <f t="shared" si="30"/>
        <v>01</v>
      </c>
    </row>
    <row r="1645" spans="15:15" x14ac:dyDescent="0.25">
      <c r="O1645" s="55" t="str">
        <f t="shared" si="30"/>
        <v>01</v>
      </c>
    </row>
    <row r="1646" spans="15:15" x14ac:dyDescent="0.25">
      <c r="O1646" s="55" t="str">
        <f t="shared" si="30"/>
        <v>01</v>
      </c>
    </row>
    <row r="1647" spans="15:15" x14ac:dyDescent="0.25">
      <c r="O1647" s="55" t="str">
        <f t="shared" si="30"/>
        <v>01</v>
      </c>
    </row>
    <row r="1648" spans="15:15" x14ac:dyDescent="0.25">
      <c r="O1648" s="55" t="str">
        <f t="shared" si="30"/>
        <v>01</v>
      </c>
    </row>
    <row r="1649" spans="15:15" x14ac:dyDescent="0.25">
      <c r="O1649" s="55" t="str">
        <f t="shared" si="30"/>
        <v>01</v>
      </c>
    </row>
    <row r="1650" spans="15:15" x14ac:dyDescent="0.25">
      <c r="O1650" s="55" t="str">
        <f t="shared" si="30"/>
        <v>01</v>
      </c>
    </row>
    <row r="1651" spans="15:15" x14ac:dyDescent="0.25">
      <c r="O1651" s="55" t="str">
        <f t="shared" si="30"/>
        <v>01</v>
      </c>
    </row>
    <row r="1652" spans="15:15" x14ac:dyDescent="0.25">
      <c r="O1652" s="55" t="str">
        <f t="shared" si="30"/>
        <v>01</v>
      </c>
    </row>
    <row r="1653" spans="15:15" x14ac:dyDescent="0.25">
      <c r="O1653" s="55" t="str">
        <f t="shared" si="30"/>
        <v>01</v>
      </c>
    </row>
    <row r="1654" spans="15:15" x14ac:dyDescent="0.25">
      <c r="O1654" s="55" t="str">
        <f t="shared" si="30"/>
        <v>01</v>
      </c>
    </row>
    <row r="1655" spans="15:15" x14ac:dyDescent="0.25">
      <c r="O1655" s="55" t="str">
        <f t="shared" si="30"/>
        <v>01</v>
      </c>
    </row>
    <row r="1656" spans="15:15" x14ac:dyDescent="0.25">
      <c r="O1656" s="55" t="str">
        <f t="shared" si="30"/>
        <v>01</v>
      </c>
    </row>
    <row r="1657" spans="15:15" x14ac:dyDescent="0.25">
      <c r="O1657" s="55" t="str">
        <f t="shared" si="30"/>
        <v>01</v>
      </c>
    </row>
    <row r="1658" spans="15:15" x14ac:dyDescent="0.25">
      <c r="O1658" s="55" t="str">
        <f t="shared" si="30"/>
        <v>01</v>
      </c>
    </row>
    <row r="1659" spans="15:15" x14ac:dyDescent="0.25">
      <c r="O1659" s="55" t="str">
        <f t="shared" si="30"/>
        <v>01</v>
      </c>
    </row>
    <row r="1660" spans="15:15" x14ac:dyDescent="0.25">
      <c r="O1660" s="55" t="str">
        <f t="shared" si="30"/>
        <v>01</v>
      </c>
    </row>
    <row r="1661" spans="15:15" x14ac:dyDescent="0.25">
      <c r="O1661" s="55" t="str">
        <f t="shared" si="30"/>
        <v>01</v>
      </c>
    </row>
    <row r="1662" spans="15:15" x14ac:dyDescent="0.25">
      <c r="O1662" s="55" t="str">
        <f t="shared" si="30"/>
        <v>01</v>
      </c>
    </row>
    <row r="1663" spans="15:15" x14ac:dyDescent="0.25">
      <c r="O1663" s="55" t="str">
        <f t="shared" si="30"/>
        <v>01</v>
      </c>
    </row>
    <row r="1664" spans="15:15" x14ac:dyDescent="0.25">
      <c r="O1664" s="55" t="str">
        <f t="shared" si="30"/>
        <v>01</v>
      </c>
    </row>
    <row r="1665" spans="15:15" x14ac:dyDescent="0.25">
      <c r="O1665" s="55" t="str">
        <f t="shared" si="30"/>
        <v>01</v>
      </c>
    </row>
    <row r="1666" spans="15:15" x14ac:dyDescent="0.25">
      <c r="O1666" s="55" t="str">
        <f t="shared" si="30"/>
        <v>01</v>
      </c>
    </row>
    <row r="1667" spans="15:15" x14ac:dyDescent="0.25">
      <c r="O1667" s="55" t="str">
        <f t="shared" si="30"/>
        <v>01</v>
      </c>
    </row>
    <row r="1668" spans="15:15" x14ac:dyDescent="0.25">
      <c r="O1668" s="55" t="str">
        <f t="shared" si="30"/>
        <v>01</v>
      </c>
    </row>
    <row r="1669" spans="15:15" x14ac:dyDescent="0.25">
      <c r="O1669" s="55" t="str">
        <f t="shared" si="30"/>
        <v>01</v>
      </c>
    </row>
    <row r="1670" spans="15:15" x14ac:dyDescent="0.25">
      <c r="O1670" s="55" t="str">
        <f t="shared" si="30"/>
        <v>01</v>
      </c>
    </row>
    <row r="1671" spans="15:15" x14ac:dyDescent="0.25">
      <c r="O1671" s="55" t="str">
        <f t="shared" si="30"/>
        <v>01</v>
      </c>
    </row>
    <row r="1672" spans="15:15" x14ac:dyDescent="0.25">
      <c r="O1672" s="55" t="str">
        <f t="shared" si="30"/>
        <v>01</v>
      </c>
    </row>
    <row r="1673" spans="15:15" x14ac:dyDescent="0.25">
      <c r="O1673" s="55" t="str">
        <f t="shared" si="30"/>
        <v>01</v>
      </c>
    </row>
    <row r="1674" spans="15:15" x14ac:dyDescent="0.25">
      <c r="O1674" s="55" t="str">
        <f t="shared" si="30"/>
        <v>01</v>
      </c>
    </row>
    <row r="1675" spans="15:15" x14ac:dyDescent="0.25">
      <c r="O1675" s="55" t="str">
        <f t="shared" si="30"/>
        <v>01</v>
      </c>
    </row>
    <row r="1676" spans="15:15" x14ac:dyDescent="0.25">
      <c r="O1676" s="55" t="str">
        <f t="shared" si="30"/>
        <v>01</v>
      </c>
    </row>
    <row r="1677" spans="15:15" x14ac:dyDescent="0.25">
      <c r="O1677" s="55" t="str">
        <f t="shared" si="30"/>
        <v>01</v>
      </c>
    </row>
    <row r="1678" spans="15:15" x14ac:dyDescent="0.25">
      <c r="O1678" s="55" t="str">
        <f t="shared" si="30"/>
        <v>01</v>
      </c>
    </row>
    <row r="1679" spans="15:15" x14ac:dyDescent="0.25">
      <c r="O1679" s="55" t="str">
        <f t="shared" si="30"/>
        <v>01</v>
      </c>
    </row>
    <row r="1680" spans="15:15" x14ac:dyDescent="0.25">
      <c r="O1680" s="55" t="str">
        <f t="shared" si="30"/>
        <v>01</v>
      </c>
    </row>
    <row r="1681" spans="15:15" x14ac:dyDescent="0.25">
      <c r="O1681" s="55" t="str">
        <f t="shared" si="30"/>
        <v>01</v>
      </c>
    </row>
    <row r="1682" spans="15:15" x14ac:dyDescent="0.25">
      <c r="O1682" s="55" t="str">
        <f t="shared" si="30"/>
        <v>01</v>
      </c>
    </row>
    <row r="1683" spans="15:15" x14ac:dyDescent="0.25">
      <c r="O1683" s="55" t="str">
        <f t="shared" si="30"/>
        <v>01</v>
      </c>
    </row>
    <row r="1684" spans="15:15" x14ac:dyDescent="0.25">
      <c r="O1684" s="55" t="str">
        <f t="shared" si="30"/>
        <v>01</v>
      </c>
    </row>
    <row r="1685" spans="15:15" x14ac:dyDescent="0.25">
      <c r="O1685" s="55" t="str">
        <f t="shared" si="30"/>
        <v>01</v>
      </c>
    </row>
    <row r="1686" spans="15:15" x14ac:dyDescent="0.25">
      <c r="O1686" s="55" t="str">
        <f t="shared" si="30"/>
        <v>01</v>
      </c>
    </row>
    <row r="1687" spans="15:15" x14ac:dyDescent="0.25">
      <c r="O1687" s="55" t="str">
        <f t="shared" si="30"/>
        <v>01</v>
      </c>
    </row>
    <row r="1688" spans="15:15" x14ac:dyDescent="0.25">
      <c r="O1688" s="55" t="str">
        <f t="shared" si="30"/>
        <v>01</v>
      </c>
    </row>
    <row r="1689" spans="15:15" x14ac:dyDescent="0.25">
      <c r="O1689" s="55" t="str">
        <f t="shared" si="30"/>
        <v>01</v>
      </c>
    </row>
    <row r="1690" spans="15:15" x14ac:dyDescent="0.25">
      <c r="O1690" s="55" t="str">
        <f t="shared" ref="O1690:O1753" si="31">+TEXT(H1690,"MM")</f>
        <v>01</v>
      </c>
    </row>
    <row r="1691" spans="15:15" x14ac:dyDescent="0.25">
      <c r="O1691" s="55" t="str">
        <f t="shared" si="31"/>
        <v>01</v>
      </c>
    </row>
    <row r="1692" spans="15:15" x14ac:dyDescent="0.25">
      <c r="O1692" s="55" t="str">
        <f t="shared" si="31"/>
        <v>01</v>
      </c>
    </row>
    <row r="1693" spans="15:15" x14ac:dyDescent="0.25">
      <c r="O1693" s="55" t="str">
        <f t="shared" si="31"/>
        <v>01</v>
      </c>
    </row>
    <row r="1694" spans="15:15" x14ac:dyDescent="0.25">
      <c r="O1694" s="55" t="str">
        <f t="shared" si="31"/>
        <v>01</v>
      </c>
    </row>
    <row r="1695" spans="15:15" x14ac:dyDescent="0.25">
      <c r="O1695" s="55" t="str">
        <f t="shared" si="31"/>
        <v>01</v>
      </c>
    </row>
    <row r="1696" spans="15:15" x14ac:dyDescent="0.25">
      <c r="O1696" s="55" t="str">
        <f t="shared" si="31"/>
        <v>01</v>
      </c>
    </row>
    <row r="1697" spans="15:15" x14ac:dyDescent="0.25">
      <c r="O1697" s="55" t="str">
        <f t="shared" si="31"/>
        <v>01</v>
      </c>
    </row>
    <row r="1698" spans="15:15" x14ac:dyDescent="0.25">
      <c r="O1698" s="55" t="str">
        <f t="shared" si="31"/>
        <v>01</v>
      </c>
    </row>
    <row r="1699" spans="15:15" x14ac:dyDescent="0.25">
      <c r="O1699" s="55" t="str">
        <f t="shared" si="31"/>
        <v>01</v>
      </c>
    </row>
    <row r="1700" spans="15:15" x14ac:dyDescent="0.25">
      <c r="O1700" s="55" t="str">
        <f t="shared" si="31"/>
        <v>01</v>
      </c>
    </row>
    <row r="1701" spans="15:15" x14ac:dyDescent="0.25">
      <c r="O1701" s="55" t="str">
        <f t="shared" si="31"/>
        <v>01</v>
      </c>
    </row>
    <row r="1702" spans="15:15" x14ac:dyDescent="0.25">
      <c r="O1702" s="55" t="str">
        <f t="shared" si="31"/>
        <v>01</v>
      </c>
    </row>
    <row r="1703" spans="15:15" x14ac:dyDescent="0.25">
      <c r="O1703" s="55" t="str">
        <f t="shared" si="31"/>
        <v>01</v>
      </c>
    </row>
    <row r="1704" spans="15:15" x14ac:dyDescent="0.25">
      <c r="O1704" s="55" t="str">
        <f t="shared" si="31"/>
        <v>01</v>
      </c>
    </row>
    <row r="1705" spans="15:15" x14ac:dyDescent="0.25">
      <c r="O1705" s="55" t="str">
        <f t="shared" si="31"/>
        <v>01</v>
      </c>
    </row>
    <row r="1706" spans="15:15" x14ac:dyDescent="0.25">
      <c r="O1706" s="55" t="str">
        <f t="shared" si="31"/>
        <v>01</v>
      </c>
    </row>
    <row r="1707" spans="15:15" x14ac:dyDescent="0.25">
      <c r="O1707" s="55" t="str">
        <f t="shared" si="31"/>
        <v>01</v>
      </c>
    </row>
    <row r="1708" spans="15:15" x14ac:dyDescent="0.25">
      <c r="O1708" s="55" t="str">
        <f t="shared" si="31"/>
        <v>01</v>
      </c>
    </row>
    <row r="1709" spans="15:15" x14ac:dyDescent="0.25">
      <c r="O1709" s="55" t="str">
        <f t="shared" si="31"/>
        <v>01</v>
      </c>
    </row>
    <row r="1710" spans="15:15" x14ac:dyDescent="0.25">
      <c r="O1710" s="55" t="str">
        <f t="shared" si="31"/>
        <v>01</v>
      </c>
    </row>
    <row r="1711" spans="15:15" x14ac:dyDescent="0.25">
      <c r="O1711" s="55" t="str">
        <f t="shared" si="31"/>
        <v>01</v>
      </c>
    </row>
    <row r="1712" spans="15:15" x14ac:dyDescent="0.25">
      <c r="O1712" s="55" t="str">
        <f t="shared" si="31"/>
        <v>01</v>
      </c>
    </row>
    <row r="1713" spans="15:15" x14ac:dyDescent="0.25">
      <c r="O1713" s="55" t="str">
        <f t="shared" si="31"/>
        <v>01</v>
      </c>
    </row>
    <row r="1714" spans="15:15" x14ac:dyDescent="0.25">
      <c r="O1714" s="55" t="str">
        <f t="shared" si="31"/>
        <v>01</v>
      </c>
    </row>
    <row r="1715" spans="15:15" x14ac:dyDescent="0.25">
      <c r="O1715" s="55" t="str">
        <f t="shared" si="31"/>
        <v>01</v>
      </c>
    </row>
    <row r="1716" spans="15:15" x14ac:dyDescent="0.25">
      <c r="O1716" s="55" t="str">
        <f t="shared" si="31"/>
        <v>01</v>
      </c>
    </row>
    <row r="1717" spans="15:15" x14ac:dyDescent="0.25">
      <c r="O1717" s="55" t="str">
        <f t="shared" si="31"/>
        <v>01</v>
      </c>
    </row>
    <row r="1718" spans="15:15" x14ac:dyDescent="0.25">
      <c r="O1718" s="55" t="str">
        <f t="shared" si="31"/>
        <v>01</v>
      </c>
    </row>
    <row r="1719" spans="15:15" x14ac:dyDescent="0.25">
      <c r="O1719" s="55" t="str">
        <f t="shared" si="31"/>
        <v>01</v>
      </c>
    </row>
    <row r="1720" spans="15:15" x14ac:dyDescent="0.25">
      <c r="O1720" s="55" t="str">
        <f t="shared" si="31"/>
        <v>01</v>
      </c>
    </row>
    <row r="1721" spans="15:15" x14ac:dyDescent="0.25">
      <c r="O1721" s="55" t="str">
        <f t="shared" si="31"/>
        <v>01</v>
      </c>
    </row>
    <row r="1722" spans="15:15" x14ac:dyDescent="0.25">
      <c r="O1722" s="55" t="str">
        <f t="shared" si="31"/>
        <v>01</v>
      </c>
    </row>
    <row r="1723" spans="15:15" x14ac:dyDescent="0.25">
      <c r="O1723" s="55" t="str">
        <f t="shared" si="31"/>
        <v>01</v>
      </c>
    </row>
    <row r="1724" spans="15:15" x14ac:dyDescent="0.25">
      <c r="O1724" s="55" t="str">
        <f t="shared" si="31"/>
        <v>01</v>
      </c>
    </row>
    <row r="1725" spans="15:15" x14ac:dyDescent="0.25">
      <c r="O1725" s="55" t="str">
        <f t="shared" si="31"/>
        <v>01</v>
      </c>
    </row>
    <row r="1726" spans="15:15" x14ac:dyDescent="0.25">
      <c r="O1726" s="55" t="str">
        <f t="shared" si="31"/>
        <v>01</v>
      </c>
    </row>
    <row r="1727" spans="15:15" x14ac:dyDescent="0.25">
      <c r="O1727" s="55" t="str">
        <f t="shared" si="31"/>
        <v>01</v>
      </c>
    </row>
    <row r="1728" spans="15:15" x14ac:dyDescent="0.25">
      <c r="O1728" s="55" t="str">
        <f t="shared" si="31"/>
        <v>01</v>
      </c>
    </row>
    <row r="1729" spans="15:15" x14ac:dyDescent="0.25">
      <c r="O1729" s="55" t="str">
        <f t="shared" si="31"/>
        <v>01</v>
      </c>
    </row>
    <row r="1730" spans="15:15" x14ac:dyDescent="0.25">
      <c r="O1730" s="55" t="str">
        <f t="shared" si="31"/>
        <v>01</v>
      </c>
    </row>
    <row r="1731" spans="15:15" x14ac:dyDescent="0.25">
      <c r="O1731" s="55" t="str">
        <f t="shared" si="31"/>
        <v>01</v>
      </c>
    </row>
    <row r="1732" spans="15:15" x14ac:dyDescent="0.25">
      <c r="O1732" s="55" t="str">
        <f t="shared" si="31"/>
        <v>01</v>
      </c>
    </row>
    <row r="1733" spans="15:15" x14ac:dyDescent="0.25">
      <c r="O1733" s="55" t="str">
        <f t="shared" si="31"/>
        <v>01</v>
      </c>
    </row>
    <row r="1734" spans="15:15" x14ac:dyDescent="0.25">
      <c r="O1734" s="55" t="str">
        <f t="shared" si="31"/>
        <v>01</v>
      </c>
    </row>
    <row r="1735" spans="15:15" x14ac:dyDescent="0.25">
      <c r="O1735" s="55" t="str">
        <f t="shared" si="31"/>
        <v>01</v>
      </c>
    </row>
    <row r="1736" spans="15:15" x14ac:dyDescent="0.25">
      <c r="O1736" s="55" t="str">
        <f t="shared" si="31"/>
        <v>01</v>
      </c>
    </row>
    <row r="1737" spans="15:15" x14ac:dyDescent="0.25">
      <c r="O1737" s="55" t="str">
        <f t="shared" si="31"/>
        <v>01</v>
      </c>
    </row>
    <row r="1738" spans="15:15" x14ac:dyDescent="0.25">
      <c r="O1738" s="55" t="str">
        <f t="shared" si="31"/>
        <v>01</v>
      </c>
    </row>
    <row r="1739" spans="15:15" x14ac:dyDescent="0.25">
      <c r="O1739" s="55" t="str">
        <f t="shared" si="31"/>
        <v>01</v>
      </c>
    </row>
    <row r="1740" spans="15:15" x14ac:dyDescent="0.25">
      <c r="O1740" s="55" t="str">
        <f t="shared" si="31"/>
        <v>01</v>
      </c>
    </row>
    <row r="1741" spans="15:15" x14ac:dyDescent="0.25">
      <c r="O1741" s="55" t="str">
        <f t="shared" si="31"/>
        <v>01</v>
      </c>
    </row>
    <row r="1742" spans="15:15" x14ac:dyDescent="0.25">
      <c r="O1742" s="55" t="str">
        <f t="shared" si="31"/>
        <v>01</v>
      </c>
    </row>
    <row r="1743" spans="15:15" x14ac:dyDescent="0.25">
      <c r="O1743" s="55" t="str">
        <f t="shared" si="31"/>
        <v>01</v>
      </c>
    </row>
    <row r="1744" spans="15:15" x14ac:dyDescent="0.25">
      <c r="O1744" s="55" t="str">
        <f t="shared" si="31"/>
        <v>01</v>
      </c>
    </row>
    <row r="1745" spans="15:15" x14ac:dyDescent="0.25">
      <c r="O1745" s="55" t="str">
        <f t="shared" si="31"/>
        <v>01</v>
      </c>
    </row>
    <row r="1746" spans="15:15" x14ac:dyDescent="0.25">
      <c r="O1746" s="55" t="str">
        <f t="shared" si="31"/>
        <v>01</v>
      </c>
    </row>
    <row r="1747" spans="15:15" x14ac:dyDescent="0.25">
      <c r="O1747" s="55" t="str">
        <f t="shared" si="31"/>
        <v>01</v>
      </c>
    </row>
    <row r="1748" spans="15:15" x14ac:dyDescent="0.25">
      <c r="O1748" s="55" t="str">
        <f t="shared" si="31"/>
        <v>01</v>
      </c>
    </row>
    <row r="1749" spans="15:15" x14ac:dyDescent="0.25">
      <c r="O1749" s="55" t="str">
        <f t="shared" si="31"/>
        <v>01</v>
      </c>
    </row>
    <row r="1750" spans="15:15" x14ac:dyDescent="0.25">
      <c r="O1750" s="55" t="str">
        <f t="shared" si="31"/>
        <v>01</v>
      </c>
    </row>
    <row r="1751" spans="15:15" x14ac:dyDescent="0.25">
      <c r="O1751" s="55" t="str">
        <f t="shared" si="31"/>
        <v>01</v>
      </c>
    </row>
    <row r="1752" spans="15:15" x14ac:dyDescent="0.25">
      <c r="O1752" s="55" t="str">
        <f t="shared" si="31"/>
        <v>01</v>
      </c>
    </row>
    <row r="1753" spans="15:15" x14ac:dyDescent="0.25">
      <c r="O1753" s="55" t="str">
        <f t="shared" si="31"/>
        <v>01</v>
      </c>
    </row>
    <row r="1754" spans="15:15" x14ac:dyDescent="0.25">
      <c r="O1754" s="55" t="str">
        <f t="shared" ref="O1754:O1817" si="32">+TEXT(H1754,"MM")</f>
        <v>01</v>
      </c>
    </row>
    <row r="1755" spans="15:15" x14ac:dyDescent="0.25">
      <c r="O1755" s="55" t="str">
        <f t="shared" si="32"/>
        <v>01</v>
      </c>
    </row>
    <row r="1756" spans="15:15" x14ac:dyDescent="0.25">
      <c r="O1756" s="55" t="str">
        <f t="shared" si="32"/>
        <v>01</v>
      </c>
    </row>
    <row r="1757" spans="15:15" x14ac:dyDescent="0.25">
      <c r="O1757" s="55" t="str">
        <f t="shared" si="32"/>
        <v>01</v>
      </c>
    </row>
    <row r="1758" spans="15:15" x14ac:dyDescent="0.25">
      <c r="O1758" s="55" t="str">
        <f t="shared" si="32"/>
        <v>01</v>
      </c>
    </row>
    <row r="1759" spans="15:15" x14ac:dyDescent="0.25">
      <c r="O1759" s="55" t="str">
        <f t="shared" si="32"/>
        <v>01</v>
      </c>
    </row>
    <row r="1760" spans="15:15" x14ac:dyDescent="0.25">
      <c r="O1760" s="55" t="str">
        <f t="shared" si="32"/>
        <v>01</v>
      </c>
    </row>
    <row r="1761" spans="15:15" x14ac:dyDescent="0.25">
      <c r="O1761" s="55" t="str">
        <f t="shared" si="32"/>
        <v>01</v>
      </c>
    </row>
    <row r="1762" spans="15:15" x14ac:dyDescent="0.25">
      <c r="O1762" s="55" t="str">
        <f t="shared" si="32"/>
        <v>01</v>
      </c>
    </row>
    <row r="1763" spans="15:15" x14ac:dyDescent="0.25">
      <c r="O1763" s="55" t="str">
        <f t="shared" si="32"/>
        <v>01</v>
      </c>
    </row>
    <row r="1764" spans="15:15" x14ac:dyDescent="0.25">
      <c r="O1764" s="55" t="str">
        <f t="shared" si="32"/>
        <v>01</v>
      </c>
    </row>
    <row r="1765" spans="15:15" x14ac:dyDescent="0.25">
      <c r="O1765" s="55" t="str">
        <f t="shared" si="32"/>
        <v>01</v>
      </c>
    </row>
    <row r="1766" spans="15:15" x14ac:dyDescent="0.25">
      <c r="O1766" s="55" t="str">
        <f t="shared" si="32"/>
        <v>01</v>
      </c>
    </row>
    <row r="1767" spans="15:15" x14ac:dyDescent="0.25">
      <c r="O1767" s="55" t="str">
        <f t="shared" si="32"/>
        <v>01</v>
      </c>
    </row>
    <row r="1768" spans="15:15" x14ac:dyDescent="0.25">
      <c r="O1768" s="55" t="str">
        <f t="shared" si="32"/>
        <v>01</v>
      </c>
    </row>
    <row r="1769" spans="15:15" x14ac:dyDescent="0.25">
      <c r="O1769" s="55" t="str">
        <f t="shared" si="32"/>
        <v>01</v>
      </c>
    </row>
    <row r="1770" spans="15:15" x14ac:dyDescent="0.25">
      <c r="O1770" s="55" t="str">
        <f t="shared" si="32"/>
        <v>01</v>
      </c>
    </row>
    <row r="1771" spans="15:15" x14ac:dyDescent="0.25">
      <c r="O1771" s="55" t="str">
        <f t="shared" si="32"/>
        <v>01</v>
      </c>
    </row>
    <row r="1772" spans="15:15" x14ac:dyDescent="0.25">
      <c r="O1772" s="55" t="str">
        <f t="shared" si="32"/>
        <v>01</v>
      </c>
    </row>
    <row r="1773" spans="15:15" x14ac:dyDescent="0.25">
      <c r="O1773" s="55" t="str">
        <f t="shared" si="32"/>
        <v>01</v>
      </c>
    </row>
    <row r="1774" spans="15:15" x14ac:dyDescent="0.25">
      <c r="O1774" s="55" t="str">
        <f t="shared" si="32"/>
        <v>01</v>
      </c>
    </row>
    <row r="1775" spans="15:15" x14ac:dyDescent="0.25">
      <c r="O1775" s="55" t="str">
        <f t="shared" si="32"/>
        <v>01</v>
      </c>
    </row>
    <row r="1776" spans="15:15" x14ac:dyDescent="0.25">
      <c r="O1776" s="55" t="str">
        <f t="shared" si="32"/>
        <v>01</v>
      </c>
    </row>
    <row r="1777" spans="15:15" x14ac:dyDescent="0.25">
      <c r="O1777" s="55" t="str">
        <f t="shared" si="32"/>
        <v>01</v>
      </c>
    </row>
    <row r="1778" spans="15:15" x14ac:dyDescent="0.25">
      <c r="O1778" s="55" t="str">
        <f t="shared" si="32"/>
        <v>01</v>
      </c>
    </row>
    <row r="1779" spans="15:15" x14ac:dyDescent="0.25">
      <c r="O1779" s="55" t="str">
        <f t="shared" si="32"/>
        <v>01</v>
      </c>
    </row>
    <row r="1780" spans="15:15" x14ac:dyDescent="0.25">
      <c r="O1780" s="55" t="str">
        <f t="shared" si="32"/>
        <v>01</v>
      </c>
    </row>
    <row r="1781" spans="15:15" x14ac:dyDescent="0.25">
      <c r="O1781" s="55" t="str">
        <f t="shared" si="32"/>
        <v>01</v>
      </c>
    </row>
    <row r="1782" spans="15:15" x14ac:dyDescent="0.25">
      <c r="O1782" s="55" t="str">
        <f t="shared" si="32"/>
        <v>01</v>
      </c>
    </row>
    <row r="1783" spans="15:15" x14ac:dyDescent="0.25">
      <c r="O1783" s="55" t="str">
        <f t="shared" si="32"/>
        <v>01</v>
      </c>
    </row>
    <row r="1784" spans="15:15" x14ac:dyDescent="0.25">
      <c r="O1784" s="55" t="str">
        <f t="shared" si="32"/>
        <v>01</v>
      </c>
    </row>
    <row r="1785" spans="15:15" x14ac:dyDescent="0.25">
      <c r="O1785" s="55" t="str">
        <f t="shared" si="32"/>
        <v>01</v>
      </c>
    </row>
    <row r="1786" spans="15:15" x14ac:dyDescent="0.25">
      <c r="O1786" s="55" t="str">
        <f t="shared" si="32"/>
        <v>01</v>
      </c>
    </row>
    <row r="1787" spans="15:15" x14ac:dyDescent="0.25">
      <c r="O1787" s="55" t="str">
        <f t="shared" si="32"/>
        <v>01</v>
      </c>
    </row>
    <row r="1788" spans="15:15" x14ac:dyDescent="0.25">
      <c r="O1788" s="55" t="str">
        <f t="shared" si="32"/>
        <v>01</v>
      </c>
    </row>
    <row r="1789" spans="15:15" x14ac:dyDescent="0.25">
      <c r="O1789" s="55" t="str">
        <f t="shared" si="32"/>
        <v>01</v>
      </c>
    </row>
    <row r="1790" spans="15:15" x14ac:dyDescent="0.25">
      <c r="O1790" s="55" t="str">
        <f t="shared" si="32"/>
        <v>01</v>
      </c>
    </row>
    <row r="1791" spans="15:15" x14ac:dyDescent="0.25">
      <c r="O1791" s="55" t="str">
        <f t="shared" si="32"/>
        <v>01</v>
      </c>
    </row>
    <row r="1792" spans="15:15" x14ac:dyDescent="0.25">
      <c r="O1792" s="55" t="str">
        <f t="shared" si="32"/>
        <v>01</v>
      </c>
    </row>
    <row r="1793" spans="15:15" x14ac:dyDescent="0.25">
      <c r="O1793" s="55" t="str">
        <f t="shared" si="32"/>
        <v>01</v>
      </c>
    </row>
    <row r="1794" spans="15:15" x14ac:dyDescent="0.25">
      <c r="O1794" s="55" t="str">
        <f t="shared" si="32"/>
        <v>01</v>
      </c>
    </row>
    <row r="1795" spans="15:15" x14ac:dyDescent="0.25">
      <c r="O1795" s="55" t="str">
        <f t="shared" si="32"/>
        <v>01</v>
      </c>
    </row>
    <row r="1796" spans="15:15" x14ac:dyDescent="0.25">
      <c r="O1796" s="55" t="str">
        <f t="shared" si="32"/>
        <v>01</v>
      </c>
    </row>
    <row r="1797" spans="15:15" x14ac:dyDescent="0.25">
      <c r="O1797" s="55" t="str">
        <f t="shared" si="32"/>
        <v>01</v>
      </c>
    </row>
    <row r="1798" spans="15:15" x14ac:dyDescent="0.25">
      <c r="O1798" s="55" t="str">
        <f t="shared" si="32"/>
        <v>01</v>
      </c>
    </row>
    <row r="1799" spans="15:15" x14ac:dyDescent="0.25">
      <c r="O1799" s="55" t="str">
        <f t="shared" si="32"/>
        <v>01</v>
      </c>
    </row>
    <row r="1800" spans="15:15" x14ac:dyDescent="0.25">
      <c r="O1800" s="55" t="str">
        <f t="shared" si="32"/>
        <v>01</v>
      </c>
    </row>
    <row r="1801" spans="15:15" x14ac:dyDescent="0.25">
      <c r="O1801" s="55" t="str">
        <f t="shared" si="32"/>
        <v>01</v>
      </c>
    </row>
    <row r="1802" spans="15:15" x14ac:dyDescent="0.25">
      <c r="O1802" s="55" t="str">
        <f t="shared" si="32"/>
        <v>01</v>
      </c>
    </row>
    <row r="1803" spans="15:15" x14ac:dyDescent="0.25">
      <c r="O1803" s="55" t="str">
        <f t="shared" si="32"/>
        <v>01</v>
      </c>
    </row>
    <row r="1804" spans="15:15" x14ac:dyDescent="0.25">
      <c r="O1804" s="55" t="str">
        <f t="shared" si="32"/>
        <v>01</v>
      </c>
    </row>
    <row r="1805" spans="15:15" x14ac:dyDescent="0.25">
      <c r="O1805" s="55" t="str">
        <f t="shared" si="32"/>
        <v>01</v>
      </c>
    </row>
    <row r="1806" spans="15:15" x14ac:dyDescent="0.25">
      <c r="O1806" s="55" t="str">
        <f t="shared" si="32"/>
        <v>01</v>
      </c>
    </row>
    <row r="1807" spans="15:15" x14ac:dyDescent="0.25">
      <c r="O1807" s="55" t="str">
        <f t="shared" si="32"/>
        <v>01</v>
      </c>
    </row>
    <row r="1808" spans="15:15" x14ac:dyDescent="0.25">
      <c r="O1808" s="55" t="str">
        <f t="shared" si="32"/>
        <v>01</v>
      </c>
    </row>
    <row r="1809" spans="15:15" x14ac:dyDescent="0.25">
      <c r="O1809" s="55" t="str">
        <f t="shared" si="32"/>
        <v>01</v>
      </c>
    </row>
    <row r="1810" spans="15:15" x14ac:dyDescent="0.25">
      <c r="O1810" s="55" t="str">
        <f t="shared" si="32"/>
        <v>01</v>
      </c>
    </row>
    <row r="1811" spans="15:15" x14ac:dyDescent="0.25">
      <c r="O1811" s="55" t="str">
        <f t="shared" si="32"/>
        <v>01</v>
      </c>
    </row>
    <row r="1812" spans="15:15" x14ac:dyDescent="0.25">
      <c r="O1812" s="55" t="str">
        <f t="shared" si="32"/>
        <v>01</v>
      </c>
    </row>
    <row r="1813" spans="15:15" x14ac:dyDescent="0.25">
      <c r="O1813" s="55" t="str">
        <f t="shared" si="32"/>
        <v>01</v>
      </c>
    </row>
    <row r="1814" spans="15:15" x14ac:dyDescent="0.25">
      <c r="O1814" s="55" t="str">
        <f t="shared" si="32"/>
        <v>01</v>
      </c>
    </row>
    <row r="1815" spans="15:15" x14ac:dyDescent="0.25">
      <c r="O1815" s="55" t="str">
        <f t="shared" si="32"/>
        <v>01</v>
      </c>
    </row>
    <row r="1816" spans="15:15" x14ac:dyDescent="0.25">
      <c r="O1816" s="55" t="str">
        <f t="shared" si="32"/>
        <v>01</v>
      </c>
    </row>
    <row r="1817" spans="15:15" x14ac:dyDescent="0.25">
      <c r="O1817" s="55" t="str">
        <f t="shared" si="32"/>
        <v>01</v>
      </c>
    </row>
    <row r="1818" spans="15:15" x14ac:dyDescent="0.25">
      <c r="O1818" s="55" t="str">
        <f t="shared" ref="O1818:O1881" si="33">+TEXT(H1818,"MM")</f>
        <v>01</v>
      </c>
    </row>
    <row r="1819" spans="15:15" x14ac:dyDescent="0.25">
      <c r="O1819" s="55" t="str">
        <f t="shared" si="33"/>
        <v>01</v>
      </c>
    </row>
    <row r="1820" spans="15:15" x14ac:dyDescent="0.25">
      <c r="O1820" s="55" t="str">
        <f t="shared" si="33"/>
        <v>01</v>
      </c>
    </row>
    <row r="1821" spans="15:15" x14ac:dyDescent="0.25">
      <c r="O1821" s="55" t="str">
        <f t="shared" si="33"/>
        <v>01</v>
      </c>
    </row>
    <row r="1822" spans="15:15" x14ac:dyDescent="0.25">
      <c r="O1822" s="55" t="str">
        <f t="shared" si="33"/>
        <v>01</v>
      </c>
    </row>
    <row r="1823" spans="15:15" x14ac:dyDescent="0.25">
      <c r="O1823" s="55" t="str">
        <f t="shared" si="33"/>
        <v>01</v>
      </c>
    </row>
    <row r="1824" spans="15:15" x14ac:dyDescent="0.25">
      <c r="O1824" s="55" t="str">
        <f t="shared" si="33"/>
        <v>01</v>
      </c>
    </row>
    <row r="1825" spans="15:15" x14ac:dyDescent="0.25">
      <c r="O1825" s="55" t="str">
        <f t="shared" si="33"/>
        <v>01</v>
      </c>
    </row>
    <row r="1826" spans="15:15" x14ac:dyDescent="0.25">
      <c r="O1826" s="55" t="str">
        <f t="shared" si="33"/>
        <v>01</v>
      </c>
    </row>
    <row r="1827" spans="15:15" x14ac:dyDescent="0.25">
      <c r="O1827" s="55" t="str">
        <f t="shared" si="33"/>
        <v>01</v>
      </c>
    </row>
    <row r="1828" spans="15:15" x14ac:dyDescent="0.25">
      <c r="O1828" s="55" t="str">
        <f t="shared" si="33"/>
        <v>01</v>
      </c>
    </row>
    <row r="1829" spans="15:15" x14ac:dyDescent="0.25">
      <c r="O1829" s="55" t="str">
        <f t="shared" si="33"/>
        <v>01</v>
      </c>
    </row>
    <row r="1830" spans="15:15" x14ac:dyDescent="0.25">
      <c r="O1830" s="55" t="str">
        <f t="shared" si="33"/>
        <v>01</v>
      </c>
    </row>
    <row r="1831" spans="15:15" x14ac:dyDescent="0.25">
      <c r="O1831" s="55" t="str">
        <f t="shared" si="33"/>
        <v>01</v>
      </c>
    </row>
    <row r="1832" spans="15:15" x14ac:dyDescent="0.25">
      <c r="O1832" s="55" t="str">
        <f t="shared" si="33"/>
        <v>01</v>
      </c>
    </row>
    <row r="1833" spans="15:15" x14ac:dyDescent="0.25">
      <c r="O1833" s="55" t="str">
        <f t="shared" si="33"/>
        <v>01</v>
      </c>
    </row>
    <row r="1834" spans="15:15" x14ac:dyDescent="0.25">
      <c r="O1834" s="55" t="str">
        <f t="shared" si="33"/>
        <v>01</v>
      </c>
    </row>
    <row r="1835" spans="15:15" x14ac:dyDescent="0.25">
      <c r="O1835" s="55" t="str">
        <f t="shared" si="33"/>
        <v>01</v>
      </c>
    </row>
    <row r="1836" spans="15:15" x14ac:dyDescent="0.25">
      <c r="O1836" s="55" t="str">
        <f t="shared" si="33"/>
        <v>01</v>
      </c>
    </row>
    <row r="1837" spans="15:15" x14ac:dyDescent="0.25">
      <c r="O1837" s="55" t="str">
        <f t="shared" si="33"/>
        <v>01</v>
      </c>
    </row>
    <row r="1838" spans="15:15" x14ac:dyDescent="0.25">
      <c r="O1838" s="55" t="str">
        <f t="shared" si="33"/>
        <v>01</v>
      </c>
    </row>
    <row r="1839" spans="15:15" x14ac:dyDescent="0.25">
      <c r="O1839" s="55" t="str">
        <f t="shared" si="33"/>
        <v>01</v>
      </c>
    </row>
    <row r="1840" spans="15:15" x14ac:dyDescent="0.25">
      <c r="O1840" s="55" t="str">
        <f t="shared" si="33"/>
        <v>01</v>
      </c>
    </row>
    <row r="1841" spans="15:15" x14ac:dyDescent="0.25">
      <c r="O1841" s="55" t="str">
        <f t="shared" si="33"/>
        <v>01</v>
      </c>
    </row>
    <row r="1842" spans="15:15" x14ac:dyDescent="0.25">
      <c r="O1842" s="55" t="str">
        <f t="shared" si="33"/>
        <v>01</v>
      </c>
    </row>
    <row r="1843" spans="15:15" x14ac:dyDescent="0.25">
      <c r="O1843" s="55" t="str">
        <f t="shared" si="33"/>
        <v>01</v>
      </c>
    </row>
    <row r="1844" spans="15:15" x14ac:dyDescent="0.25">
      <c r="O1844" s="55" t="str">
        <f t="shared" si="33"/>
        <v>01</v>
      </c>
    </row>
    <row r="1845" spans="15:15" x14ac:dyDescent="0.25">
      <c r="O1845" s="55" t="str">
        <f t="shared" si="33"/>
        <v>01</v>
      </c>
    </row>
    <row r="1846" spans="15:15" x14ac:dyDescent="0.25">
      <c r="O1846" s="55" t="str">
        <f t="shared" si="33"/>
        <v>01</v>
      </c>
    </row>
    <row r="1847" spans="15:15" x14ac:dyDescent="0.25">
      <c r="O1847" s="55" t="str">
        <f t="shared" si="33"/>
        <v>01</v>
      </c>
    </row>
    <row r="1848" spans="15:15" x14ac:dyDescent="0.25">
      <c r="O1848" s="55" t="str">
        <f t="shared" si="33"/>
        <v>01</v>
      </c>
    </row>
    <row r="1849" spans="15:15" x14ac:dyDescent="0.25">
      <c r="O1849" s="55" t="str">
        <f t="shared" si="33"/>
        <v>01</v>
      </c>
    </row>
    <row r="1850" spans="15:15" x14ac:dyDescent="0.25">
      <c r="O1850" s="55" t="str">
        <f t="shared" si="33"/>
        <v>01</v>
      </c>
    </row>
    <row r="1851" spans="15:15" x14ac:dyDescent="0.25">
      <c r="O1851" s="55" t="str">
        <f t="shared" si="33"/>
        <v>01</v>
      </c>
    </row>
    <row r="1852" spans="15:15" x14ac:dyDescent="0.25">
      <c r="O1852" s="55" t="str">
        <f t="shared" si="33"/>
        <v>01</v>
      </c>
    </row>
    <row r="1853" spans="15:15" x14ac:dyDescent="0.25">
      <c r="O1853" s="55" t="str">
        <f t="shared" si="33"/>
        <v>01</v>
      </c>
    </row>
    <row r="1854" spans="15:15" x14ac:dyDescent="0.25">
      <c r="O1854" s="55" t="str">
        <f t="shared" si="33"/>
        <v>01</v>
      </c>
    </row>
    <row r="1855" spans="15:15" x14ac:dyDescent="0.25">
      <c r="O1855" s="55" t="str">
        <f t="shared" si="33"/>
        <v>01</v>
      </c>
    </row>
    <row r="1856" spans="15:15" x14ac:dyDescent="0.25">
      <c r="O1856" s="55" t="str">
        <f t="shared" si="33"/>
        <v>01</v>
      </c>
    </row>
    <row r="1857" spans="15:15" x14ac:dyDescent="0.25">
      <c r="O1857" s="55" t="str">
        <f t="shared" si="33"/>
        <v>01</v>
      </c>
    </row>
    <row r="1858" spans="15:15" x14ac:dyDescent="0.25">
      <c r="O1858" s="55" t="str">
        <f t="shared" si="33"/>
        <v>01</v>
      </c>
    </row>
    <row r="1859" spans="15:15" x14ac:dyDescent="0.25">
      <c r="O1859" s="55" t="str">
        <f t="shared" si="33"/>
        <v>01</v>
      </c>
    </row>
    <row r="1860" spans="15:15" x14ac:dyDescent="0.25">
      <c r="O1860" s="55" t="str">
        <f t="shared" si="33"/>
        <v>01</v>
      </c>
    </row>
    <row r="1861" spans="15:15" x14ac:dyDescent="0.25">
      <c r="O1861" s="55" t="str">
        <f t="shared" si="33"/>
        <v>01</v>
      </c>
    </row>
    <row r="1862" spans="15:15" x14ac:dyDescent="0.25">
      <c r="O1862" s="55" t="str">
        <f t="shared" si="33"/>
        <v>01</v>
      </c>
    </row>
    <row r="1863" spans="15:15" x14ac:dyDescent="0.25">
      <c r="O1863" s="55" t="str">
        <f t="shared" si="33"/>
        <v>01</v>
      </c>
    </row>
    <row r="1864" spans="15:15" x14ac:dyDescent="0.25">
      <c r="O1864" s="55" t="str">
        <f t="shared" si="33"/>
        <v>01</v>
      </c>
    </row>
    <row r="1865" spans="15:15" x14ac:dyDescent="0.25">
      <c r="O1865" s="55" t="str">
        <f t="shared" si="33"/>
        <v>01</v>
      </c>
    </row>
    <row r="1866" spans="15:15" x14ac:dyDescent="0.25">
      <c r="O1866" s="55" t="str">
        <f t="shared" si="33"/>
        <v>01</v>
      </c>
    </row>
    <row r="1867" spans="15:15" x14ac:dyDescent="0.25">
      <c r="O1867" s="55" t="str">
        <f t="shared" si="33"/>
        <v>01</v>
      </c>
    </row>
    <row r="1868" spans="15:15" x14ac:dyDescent="0.25">
      <c r="O1868" s="55" t="str">
        <f t="shared" si="33"/>
        <v>01</v>
      </c>
    </row>
    <row r="1869" spans="15:15" x14ac:dyDescent="0.25">
      <c r="O1869" s="55" t="str">
        <f t="shared" si="33"/>
        <v>01</v>
      </c>
    </row>
    <row r="1870" spans="15:15" x14ac:dyDescent="0.25">
      <c r="O1870" s="55" t="str">
        <f t="shared" si="33"/>
        <v>01</v>
      </c>
    </row>
    <row r="1871" spans="15:15" x14ac:dyDescent="0.25">
      <c r="O1871" s="55" t="str">
        <f t="shared" si="33"/>
        <v>01</v>
      </c>
    </row>
    <row r="1872" spans="15:15" x14ac:dyDescent="0.25">
      <c r="O1872" s="55" t="str">
        <f t="shared" si="33"/>
        <v>01</v>
      </c>
    </row>
    <row r="1873" spans="15:15" x14ac:dyDescent="0.25">
      <c r="O1873" s="55" t="str">
        <f t="shared" si="33"/>
        <v>01</v>
      </c>
    </row>
    <row r="1874" spans="15:15" x14ac:dyDescent="0.25">
      <c r="O1874" s="55" t="str">
        <f t="shared" si="33"/>
        <v>01</v>
      </c>
    </row>
    <row r="1875" spans="15:15" x14ac:dyDescent="0.25">
      <c r="O1875" s="55" t="str">
        <f t="shared" si="33"/>
        <v>01</v>
      </c>
    </row>
    <row r="1876" spans="15:15" x14ac:dyDescent="0.25">
      <c r="O1876" s="55" t="str">
        <f t="shared" si="33"/>
        <v>01</v>
      </c>
    </row>
    <row r="1877" spans="15:15" x14ac:dyDescent="0.25">
      <c r="O1877" s="55" t="str">
        <f t="shared" si="33"/>
        <v>01</v>
      </c>
    </row>
    <row r="1878" spans="15:15" x14ac:dyDescent="0.25">
      <c r="O1878" s="55" t="str">
        <f t="shared" si="33"/>
        <v>01</v>
      </c>
    </row>
    <row r="1879" spans="15:15" x14ac:dyDescent="0.25">
      <c r="O1879" s="55" t="str">
        <f t="shared" si="33"/>
        <v>01</v>
      </c>
    </row>
    <row r="1880" spans="15:15" x14ac:dyDescent="0.25">
      <c r="O1880" s="55" t="str">
        <f t="shared" si="33"/>
        <v>01</v>
      </c>
    </row>
    <row r="1881" spans="15:15" x14ac:dyDescent="0.25">
      <c r="O1881" s="55" t="str">
        <f t="shared" si="33"/>
        <v>01</v>
      </c>
    </row>
    <row r="1882" spans="15:15" x14ac:dyDescent="0.25">
      <c r="O1882" s="55" t="str">
        <f t="shared" ref="O1882:O1945" si="34">+TEXT(H1882,"MM")</f>
        <v>01</v>
      </c>
    </row>
    <row r="1883" spans="15:15" x14ac:dyDescent="0.25">
      <c r="O1883" s="55" t="str">
        <f t="shared" si="34"/>
        <v>01</v>
      </c>
    </row>
    <row r="1884" spans="15:15" x14ac:dyDescent="0.25">
      <c r="O1884" s="55" t="str">
        <f t="shared" si="34"/>
        <v>01</v>
      </c>
    </row>
    <row r="1885" spans="15:15" x14ac:dyDescent="0.25">
      <c r="O1885" s="55" t="str">
        <f t="shared" si="34"/>
        <v>01</v>
      </c>
    </row>
    <row r="1886" spans="15:15" x14ac:dyDescent="0.25">
      <c r="O1886" s="55" t="str">
        <f t="shared" si="34"/>
        <v>01</v>
      </c>
    </row>
    <row r="1887" spans="15:15" x14ac:dyDescent="0.25">
      <c r="O1887" s="55" t="str">
        <f t="shared" si="34"/>
        <v>01</v>
      </c>
    </row>
    <row r="1888" spans="15:15" x14ac:dyDescent="0.25">
      <c r="O1888" s="55" t="str">
        <f t="shared" si="34"/>
        <v>01</v>
      </c>
    </row>
    <row r="1889" spans="15:15" x14ac:dyDescent="0.25">
      <c r="O1889" s="55" t="str">
        <f t="shared" si="34"/>
        <v>01</v>
      </c>
    </row>
    <row r="1890" spans="15:15" x14ac:dyDescent="0.25">
      <c r="O1890" s="55" t="str">
        <f t="shared" si="34"/>
        <v>01</v>
      </c>
    </row>
    <row r="1891" spans="15:15" x14ac:dyDescent="0.25">
      <c r="O1891" s="55" t="str">
        <f t="shared" si="34"/>
        <v>01</v>
      </c>
    </row>
    <row r="1892" spans="15:15" x14ac:dyDescent="0.25">
      <c r="O1892" s="55" t="str">
        <f t="shared" si="34"/>
        <v>01</v>
      </c>
    </row>
    <row r="1893" spans="15:15" x14ac:dyDescent="0.25">
      <c r="O1893" s="55" t="str">
        <f t="shared" si="34"/>
        <v>01</v>
      </c>
    </row>
    <row r="1894" spans="15:15" x14ac:dyDescent="0.25">
      <c r="O1894" s="55" t="str">
        <f t="shared" si="34"/>
        <v>01</v>
      </c>
    </row>
    <row r="1895" spans="15:15" x14ac:dyDescent="0.25">
      <c r="O1895" s="55" t="str">
        <f t="shared" si="34"/>
        <v>01</v>
      </c>
    </row>
    <row r="1896" spans="15:15" x14ac:dyDescent="0.25">
      <c r="O1896" s="55" t="str">
        <f t="shared" si="34"/>
        <v>01</v>
      </c>
    </row>
    <row r="1897" spans="15:15" x14ac:dyDescent="0.25">
      <c r="O1897" s="55" t="str">
        <f t="shared" si="34"/>
        <v>01</v>
      </c>
    </row>
    <row r="1898" spans="15:15" x14ac:dyDescent="0.25">
      <c r="O1898" s="55" t="str">
        <f t="shared" si="34"/>
        <v>01</v>
      </c>
    </row>
    <row r="1899" spans="15:15" x14ac:dyDescent="0.25">
      <c r="O1899" s="55" t="str">
        <f t="shared" si="34"/>
        <v>01</v>
      </c>
    </row>
    <row r="1900" spans="15:15" x14ac:dyDescent="0.25">
      <c r="O1900" s="55" t="str">
        <f t="shared" si="34"/>
        <v>01</v>
      </c>
    </row>
    <row r="1901" spans="15:15" x14ac:dyDescent="0.25">
      <c r="O1901" s="55" t="str">
        <f t="shared" si="34"/>
        <v>01</v>
      </c>
    </row>
    <row r="1902" spans="15:15" x14ac:dyDescent="0.25">
      <c r="O1902" s="55" t="str">
        <f t="shared" si="34"/>
        <v>01</v>
      </c>
    </row>
    <row r="1903" spans="15:15" x14ac:dyDescent="0.25">
      <c r="O1903" s="55" t="str">
        <f t="shared" si="34"/>
        <v>01</v>
      </c>
    </row>
    <row r="1904" spans="15:15" x14ac:dyDescent="0.25">
      <c r="O1904" s="55" t="str">
        <f t="shared" si="34"/>
        <v>01</v>
      </c>
    </row>
    <row r="1905" spans="15:15" x14ac:dyDescent="0.25">
      <c r="O1905" s="55" t="str">
        <f t="shared" si="34"/>
        <v>01</v>
      </c>
    </row>
    <row r="1906" spans="15:15" x14ac:dyDescent="0.25">
      <c r="O1906" s="55" t="str">
        <f t="shared" si="34"/>
        <v>01</v>
      </c>
    </row>
    <row r="1907" spans="15:15" x14ac:dyDescent="0.25">
      <c r="O1907" s="55" t="str">
        <f t="shared" si="34"/>
        <v>01</v>
      </c>
    </row>
    <row r="1908" spans="15:15" x14ac:dyDescent="0.25">
      <c r="O1908" s="55" t="str">
        <f t="shared" si="34"/>
        <v>01</v>
      </c>
    </row>
    <row r="1909" spans="15:15" x14ac:dyDescent="0.25">
      <c r="O1909" s="55" t="str">
        <f t="shared" si="34"/>
        <v>01</v>
      </c>
    </row>
    <row r="1910" spans="15:15" x14ac:dyDescent="0.25">
      <c r="O1910" s="55" t="str">
        <f t="shared" si="34"/>
        <v>01</v>
      </c>
    </row>
    <row r="1911" spans="15:15" x14ac:dyDescent="0.25">
      <c r="O1911" s="55" t="str">
        <f t="shared" si="34"/>
        <v>01</v>
      </c>
    </row>
    <row r="1912" spans="15:15" x14ac:dyDescent="0.25">
      <c r="O1912" s="55" t="str">
        <f t="shared" si="34"/>
        <v>01</v>
      </c>
    </row>
    <row r="1913" spans="15:15" x14ac:dyDescent="0.25">
      <c r="O1913" s="55" t="str">
        <f t="shared" si="34"/>
        <v>01</v>
      </c>
    </row>
    <row r="1914" spans="15:15" x14ac:dyDescent="0.25">
      <c r="O1914" s="55" t="str">
        <f t="shared" si="34"/>
        <v>01</v>
      </c>
    </row>
    <row r="1915" spans="15:15" x14ac:dyDescent="0.25">
      <c r="O1915" s="55" t="str">
        <f t="shared" si="34"/>
        <v>01</v>
      </c>
    </row>
    <row r="1916" spans="15:15" x14ac:dyDescent="0.25">
      <c r="O1916" s="55" t="str">
        <f t="shared" si="34"/>
        <v>01</v>
      </c>
    </row>
    <row r="1917" spans="15:15" x14ac:dyDescent="0.25">
      <c r="O1917" s="55" t="str">
        <f t="shared" si="34"/>
        <v>01</v>
      </c>
    </row>
    <row r="1918" spans="15:15" x14ac:dyDescent="0.25">
      <c r="O1918" s="55" t="str">
        <f t="shared" si="34"/>
        <v>01</v>
      </c>
    </row>
    <row r="1919" spans="15:15" x14ac:dyDescent="0.25">
      <c r="O1919" s="55" t="str">
        <f t="shared" si="34"/>
        <v>01</v>
      </c>
    </row>
    <row r="1920" spans="15:15" x14ac:dyDescent="0.25">
      <c r="O1920" s="55" t="str">
        <f t="shared" si="34"/>
        <v>01</v>
      </c>
    </row>
    <row r="1921" spans="15:15" x14ac:dyDescent="0.25">
      <c r="O1921" s="55" t="str">
        <f t="shared" si="34"/>
        <v>01</v>
      </c>
    </row>
    <row r="1922" spans="15:15" x14ac:dyDescent="0.25">
      <c r="O1922" s="55" t="str">
        <f t="shared" si="34"/>
        <v>01</v>
      </c>
    </row>
    <row r="1923" spans="15:15" x14ac:dyDescent="0.25">
      <c r="O1923" s="55" t="str">
        <f t="shared" si="34"/>
        <v>01</v>
      </c>
    </row>
    <row r="1924" spans="15:15" x14ac:dyDescent="0.25">
      <c r="O1924" s="55" t="str">
        <f t="shared" si="34"/>
        <v>01</v>
      </c>
    </row>
    <row r="1925" spans="15:15" x14ac:dyDescent="0.25">
      <c r="O1925" s="55" t="str">
        <f t="shared" si="34"/>
        <v>01</v>
      </c>
    </row>
    <row r="1926" spans="15:15" x14ac:dyDescent="0.25">
      <c r="O1926" s="55" t="str">
        <f t="shared" si="34"/>
        <v>01</v>
      </c>
    </row>
    <row r="1927" spans="15:15" x14ac:dyDescent="0.25">
      <c r="O1927" s="55" t="str">
        <f t="shared" si="34"/>
        <v>01</v>
      </c>
    </row>
    <row r="1928" spans="15:15" x14ac:dyDescent="0.25">
      <c r="O1928" s="55" t="str">
        <f t="shared" si="34"/>
        <v>01</v>
      </c>
    </row>
    <row r="1929" spans="15:15" x14ac:dyDescent="0.25">
      <c r="O1929" s="55" t="str">
        <f t="shared" si="34"/>
        <v>01</v>
      </c>
    </row>
    <row r="1930" spans="15:15" x14ac:dyDescent="0.25">
      <c r="O1930" s="55" t="str">
        <f t="shared" si="34"/>
        <v>01</v>
      </c>
    </row>
    <row r="1931" spans="15:15" x14ac:dyDescent="0.25">
      <c r="O1931" s="55" t="str">
        <f t="shared" si="34"/>
        <v>01</v>
      </c>
    </row>
    <row r="1932" spans="15:15" x14ac:dyDescent="0.25">
      <c r="O1932" s="55" t="str">
        <f t="shared" si="34"/>
        <v>01</v>
      </c>
    </row>
    <row r="1933" spans="15:15" x14ac:dyDescent="0.25">
      <c r="O1933" s="55" t="str">
        <f t="shared" si="34"/>
        <v>01</v>
      </c>
    </row>
    <row r="1934" spans="15:15" x14ac:dyDescent="0.25">
      <c r="O1934" s="55" t="str">
        <f t="shared" si="34"/>
        <v>01</v>
      </c>
    </row>
    <row r="1935" spans="15:15" x14ac:dyDescent="0.25">
      <c r="O1935" s="55" t="str">
        <f t="shared" si="34"/>
        <v>01</v>
      </c>
    </row>
    <row r="1936" spans="15:15" x14ac:dyDescent="0.25">
      <c r="O1936" s="55" t="str">
        <f t="shared" si="34"/>
        <v>01</v>
      </c>
    </row>
    <row r="1937" spans="15:15" x14ac:dyDescent="0.25">
      <c r="O1937" s="55" t="str">
        <f t="shared" si="34"/>
        <v>01</v>
      </c>
    </row>
    <row r="1938" spans="15:15" x14ac:dyDescent="0.25">
      <c r="O1938" s="55" t="str">
        <f t="shared" si="34"/>
        <v>01</v>
      </c>
    </row>
    <row r="1939" spans="15:15" x14ac:dyDescent="0.25">
      <c r="O1939" s="55" t="str">
        <f t="shared" si="34"/>
        <v>01</v>
      </c>
    </row>
    <row r="1940" spans="15:15" x14ac:dyDescent="0.25">
      <c r="O1940" s="55" t="str">
        <f t="shared" si="34"/>
        <v>01</v>
      </c>
    </row>
    <row r="1941" spans="15:15" x14ac:dyDescent="0.25">
      <c r="O1941" s="55" t="str">
        <f t="shared" si="34"/>
        <v>01</v>
      </c>
    </row>
    <row r="1942" spans="15:15" x14ac:dyDescent="0.25">
      <c r="O1942" s="55" t="str">
        <f t="shared" si="34"/>
        <v>01</v>
      </c>
    </row>
    <row r="1943" spans="15:15" x14ac:dyDescent="0.25">
      <c r="O1943" s="55" t="str">
        <f t="shared" si="34"/>
        <v>01</v>
      </c>
    </row>
    <row r="1944" spans="15:15" x14ac:dyDescent="0.25">
      <c r="O1944" s="55" t="str">
        <f t="shared" si="34"/>
        <v>01</v>
      </c>
    </row>
    <row r="1945" spans="15:15" x14ac:dyDescent="0.25">
      <c r="O1945" s="55" t="str">
        <f t="shared" si="34"/>
        <v>01</v>
      </c>
    </row>
    <row r="1946" spans="15:15" x14ac:dyDescent="0.25">
      <c r="O1946" s="55" t="str">
        <f t="shared" ref="O1946:O2009" si="35">+TEXT(H1946,"MM")</f>
        <v>01</v>
      </c>
    </row>
    <row r="1947" spans="15:15" x14ac:dyDescent="0.25">
      <c r="O1947" s="55" t="str">
        <f t="shared" si="35"/>
        <v>01</v>
      </c>
    </row>
    <row r="1948" spans="15:15" x14ac:dyDescent="0.25">
      <c r="O1948" s="55" t="str">
        <f t="shared" si="35"/>
        <v>01</v>
      </c>
    </row>
    <row r="1949" spans="15:15" x14ac:dyDescent="0.25">
      <c r="O1949" s="55" t="str">
        <f t="shared" si="35"/>
        <v>01</v>
      </c>
    </row>
    <row r="1950" spans="15:15" x14ac:dyDescent="0.25">
      <c r="O1950" s="55" t="str">
        <f t="shared" si="35"/>
        <v>01</v>
      </c>
    </row>
    <row r="1951" spans="15:15" x14ac:dyDescent="0.25">
      <c r="O1951" s="55" t="str">
        <f t="shared" si="35"/>
        <v>01</v>
      </c>
    </row>
    <row r="1952" spans="15:15" x14ac:dyDescent="0.25">
      <c r="O1952" s="55" t="str">
        <f t="shared" si="35"/>
        <v>01</v>
      </c>
    </row>
    <row r="1953" spans="15:15" x14ac:dyDescent="0.25">
      <c r="O1953" s="55" t="str">
        <f t="shared" si="35"/>
        <v>01</v>
      </c>
    </row>
    <row r="1954" spans="15:15" x14ac:dyDescent="0.25">
      <c r="O1954" s="55" t="str">
        <f t="shared" si="35"/>
        <v>01</v>
      </c>
    </row>
    <row r="1955" spans="15:15" x14ac:dyDescent="0.25">
      <c r="O1955" s="55" t="str">
        <f t="shared" si="35"/>
        <v>01</v>
      </c>
    </row>
    <row r="1956" spans="15:15" x14ac:dyDescent="0.25">
      <c r="O1956" s="55" t="str">
        <f t="shared" si="35"/>
        <v>01</v>
      </c>
    </row>
    <row r="1957" spans="15:15" x14ac:dyDescent="0.25">
      <c r="O1957" s="55" t="str">
        <f t="shared" si="35"/>
        <v>01</v>
      </c>
    </row>
    <row r="1958" spans="15:15" x14ac:dyDescent="0.25">
      <c r="O1958" s="55" t="str">
        <f t="shared" si="35"/>
        <v>01</v>
      </c>
    </row>
    <row r="1959" spans="15:15" x14ac:dyDescent="0.25">
      <c r="O1959" s="55" t="str">
        <f t="shared" si="35"/>
        <v>01</v>
      </c>
    </row>
    <row r="1960" spans="15:15" x14ac:dyDescent="0.25">
      <c r="O1960" s="55" t="str">
        <f t="shared" si="35"/>
        <v>01</v>
      </c>
    </row>
    <row r="1961" spans="15:15" x14ac:dyDescent="0.25">
      <c r="O1961" s="55" t="str">
        <f t="shared" si="35"/>
        <v>01</v>
      </c>
    </row>
    <row r="1962" spans="15:15" x14ac:dyDescent="0.25">
      <c r="O1962" s="55" t="str">
        <f t="shared" si="35"/>
        <v>01</v>
      </c>
    </row>
    <row r="1963" spans="15:15" x14ac:dyDescent="0.25">
      <c r="O1963" s="55" t="str">
        <f t="shared" si="35"/>
        <v>01</v>
      </c>
    </row>
    <row r="1964" spans="15:15" x14ac:dyDescent="0.25">
      <c r="O1964" s="55" t="str">
        <f t="shared" si="35"/>
        <v>01</v>
      </c>
    </row>
    <row r="1965" spans="15:15" x14ac:dyDescent="0.25">
      <c r="O1965" s="55" t="str">
        <f t="shared" si="35"/>
        <v>01</v>
      </c>
    </row>
    <row r="1966" spans="15:15" x14ac:dyDescent="0.25">
      <c r="O1966" s="55" t="str">
        <f t="shared" si="35"/>
        <v>01</v>
      </c>
    </row>
    <row r="1967" spans="15:15" x14ac:dyDescent="0.25">
      <c r="O1967" s="55" t="str">
        <f t="shared" si="35"/>
        <v>01</v>
      </c>
    </row>
    <row r="1968" spans="15:15" x14ac:dyDescent="0.25">
      <c r="O1968" s="55" t="str">
        <f t="shared" si="35"/>
        <v>01</v>
      </c>
    </row>
    <row r="1969" spans="15:15" x14ac:dyDescent="0.25">
      <c r="O1969" s="55" t="str">
        <f t="shared" si="35"/>
        <v>01</v>
      </c>
    </row>
    <row r="1970" spans="15:15" x14ac:dyDescent="0.25">
      <c r="O1970" s="55" t="str">
        <f t="shared" si="35"/>
        <v>01</v>
      </c>
    </row>
    <row r="1971" spans="15:15" x14ac:dyDescent="0.25">
      <c r="O1971" s="55" t="str">
        <f t="shared" si="35"/>
        <v>01</v>
      </c>
    </row>
    <row r="1972" spans="15:15" x14ac:dyDescent="0.25">
      <c r="O1972" s="55" t="str">
        <f t="shared" si="35"/>
        <v>01</v>
      </c>
    </row>
    <row r="1973" spans="15:15" x14ac:dyDescent="0.25">
      <c r="O1973" s="55" t="str">
        <f t="shared" si="35"/>
        <v>01</v>
      </c>
    </row>
    <row r="1974" spans="15:15" x14ac:dyDescent="0.25">
      <c r="O1974" s="55" t="str">
        <f t="shared" si="35"/>
        <v>01</v>
      </c>
    </row>
    <row r="1975" spans="15:15" x14ac:dyDescent="0.25">
      <c r="O1975" s="55" t="str">
        <f t="shared" si="35"/>
        <v>01</v>
      </c>
    </row>
    <row r="1976" spans="15:15" x14ac:dyDescent="0.25">
      <c r="O1976" s="55" t="str">
        <f t="shared" si="35"/>
        <v>01</v>
      </c>
    </row>
    <row r="1977" spans="15:15" x14ac:dyDescent="0.25">
      <c r="O1977" s="55" t="str">
        <f t="shared" si="35"/>
        <v>01</v>
      </c>
    </row>
    <row r="1978" spans="15:15" x14ac:dyDescent="0.25">
      <c r="O1978" s="55" t="str">
        <f t="shared" si="35"/>
        <v>01</v>
      </c>
    </row>
    <row r="1979" spans="15:15" x14ac:dyDescent="0.25">
      <c r="O1979" s="55" t="str">
        <f t="shared" si="35"/>
        <v>01</v>
      </c>
    </row>
    <row r="1980" spans="15:15" x14ac:dyDescent="0.25">
      <c r="O1980" s="55" t="str">
        <f t="shared" si="35"/>
        <v>01</v>
      </c>
    </row>
    <row r="1981" spans="15:15" x14ac:dyDescent="0.25">
      <c r="O1981" s="55" t="str">
        <f t="shared" si="35"/>
        <v>01</v>
      </c>
    </row>
    <row r="1982" spans="15:15" x14ac:dyDescent="0.25">
      <c r="O1982" s="55" t="str">
        <f t="shared" si="35"/>
        <v>01</v>
      </c>
    </row>
    <row r="1983" spans="15:15" x14ac:dyDescent="0.25">
      <c r="O1983" s="55" t="str">
        <f t="shared" si="35"/>
        <v>01</v>
      </c>
    </row>
    <row r="1984" spans="15:15" x14ac:dyDescent="0.25">
      <c r="O1984" s="55" t="str">
        <f t="shared" si="35"/>
        <v>01</v>
      </c>
    </row>
    <row r="1985" spans="15:15" x14ac:dyDescent="0.25">
      <c r="O1985" s="55" t="str">
        <f t="shared" si="35"/>
        <v>01</v>
      </c>
    </row>
    <row r="1986" spans="15:15" x14ac:dyDescent="0.25">
      <c r="O1986" s="55" t="str">
        <f t="shared" si="35"/>
        <v>01</v>
      </c>
    </row>
    <row r="1987" spans="15:15" x14ac:dyDescent="0.25">
      <c r="O1987" s="55" t="str">
        <f t="shared" si="35"/>
        <v>01</v>
      </c>
    </row>
    <row r="1988" spans="15:15" x14ac:dyDescent="0.25">
      <c r="O1988" s="55" t="str">
        <f t="shared" si="35"/>
        <v>01</v>
      </c>
    </row>
    <row r="1989" spans="15:15" x14ac:dyDescent="0.25">
      <c r="O1989" s="55" t="str">
        <f t="shared" si="35"/>
        <v>01</v>
      </c>
    </row>
    <row r="1990" spans="15:15" x14ac:dyDescent="0.25">
      <c r="O1990" s="55" t="str">
        <f t="shared" si="35"/>
        <v>01</v>
      </c>
    </row>
    <row r="1991" spans="15:15" x14ac:dyDescent="0.25">
      <c r="O1991" s="55" t="str">
        <f t="shared" si="35"/>
        <v>01</v>
      </c>
    </row>
    <row r="1992" spans="15:15" x14ac:dyDescent="0.25">
      <c r="O1992" s="55" t="str">
        <f t="shared" si="35"/>
        <v>01</v>
      </c>
    </row>
    <row r="1993" spans="15:15" x14ac:dyDescent="0.25">
      <c r="O1993" s="55" t="str">
        <f t="shared" si="35"/>
        <v>01</v>
      </c>
    </row>
    <row r="1994" spans="15:15" x14ac:dyDescent="0.25">
      <c r="O1994" s="55" t="str">
        <f t="shared" si="35"/>
        <v>01</v>
      </c>
    </row>
    <row r="1995" spans="15:15" x14ac:dyDescent="0.25">
      <c r="O1995" s="55" t="str">
        <f t="shared" si="35"/>
        <v>01</v>
      </c>
    </row>
    <row r="1996" spans="15:15" x14ac:dyDescent="0.25">
      <c r="O1996" s="55" t="str">
        <f t="shared" si="35"/>
        <v>01</v>
      </c>
    </row>
    <row r="1997" spans="15:15" x14ac:dyDescent="0.25">
      <c r="O1997" s="55" t="str">
        <f t="shared" si="35"/>
        <v>01</v>
      </c>
    </row>
    <row r="1998" spans="15:15" x14ac:dyDescent="0.25">
      <c r="O1998" s="55" t="str">
        <f t="shared" si="35"/>
        <v>01</v>
      </c>
    </row>
    <row r="1999" spans="15:15" x14ac:dyDescent="0.25">
      <c r="O1999" s="55" t="str">
        <f t="shared" si="35"/>
        <v>01</v>
      </c>
    </row>
    <row r="2000" spans="15:15" x14ac:dyDescent="0.25">
      <c r="O2000" s="55" t="str">
        <f t="shared" si="35"/>
        <v>01</v>
      </c>
    </row>
    <row r="2001" spans="15:15" x14ac:dyDescent="0.25">
      <c r="O2001" s="55" t="str">
        <f t="shared" si="35"/>
        <v>01</v>
      </c>
    </row>
    <row r="2002" spans="15:15" x14ac:dyDescent="0.25">
      <c r="O2002" s="55" t="str">
        <f t="shared" si="35"/>
        <v>01</v>
      </c>
    </row>
    <row r="2003" spans="15:15" x14ac:dyDescent="0.25">
      <c r="O2003" s="55" t="str">
        <f t="shared" si="35"/>
        <v>01</v>
      </c>
    </row>
    <row r="2004" spans="15:15" x14ac:dyDescent="0.25">
      <c r="O2004" s="55" t="str">
        <f t="shared" si="35"/>
        <v>01</v>
      </c>
    </row>
    <row r="2005" spans="15:15" x14ac:dyDescent="0.25">
      <c r="O2005" s="55" t="str">
        <f t="shared" si="35"/>
        <v>01</v>
      </c>
    </row>
    <row r="2006" spans="15:15" x14ac:dyDescent="0.25">
      <c r="O2006" s="55" t="str">
        <f t="shared" si="35"/>
        <v>01</v>
      </c>
    </row>
    <row r="2007" spans="15:15" x14ac:dyDescent="0.25">
      <c r="O2007" s="55" t="str">
        <f t="shared" si="35"/>
        <v>01</v>
      </c>
    </row>
    <row r="2008" spans="15:15" x14ac:dyDescent="0.25">
      <c r="O2008" s="55" t="str">
        <f t="shared" si="35"/>
        <v>01</v>
      </c>
    </row>
    <row r="2009" spans="15:15" x14ac:dyDescent="0.25">
      <c r="O2009" s="55" t="str">
        <f t="shared" si="35"/>
        <v>01</v>
      </c>
    </row>
    <row r="2010" spans="15:15" x14ac:dyDescent="0.25">
      <c r="O2010" s="55" t="str">
        <f t="shared" ref="O2010:O2073" si="36">+TEXT(H2010,"MM")</f>
        <v>01</v>
      </c>
    </row>
    <row r="2011" spans="15:15" x14ac:dyDescent="0.25">
      <c r="O2011" s="55" t="str">
        <f t="shared" si="36"/>
        <v>01</v>
      </c>
    </row>
    <row r="2012" spans="15:15" x14ac:dyDescent="0.25">
      <c r="O2012" s="55" t="str">
        <f t="shared" si="36"/>
        <v>01</v>
      </c>
    </row>
    <row r="2013" spans="15:15" x14ac:dyDescent="0.25">
      <c r="O2013" s="55" t="str">
        <f t="shared" si="36"/>
        <v>01</v>
      </c>
    </row>
    <row r="2014" spans="15:15" x14ac:dyDescent="0.25">
      <c r="O2014" s="55" t="str">
        <f t="shared" si="36"/>
        <v>01</v>
      </c>
    </row>
    <row r="2015" spans="15:15" x14ac:dyDescent="0.25">
      <c r="O2015" s="55" t="str">
        <f t="shared" si="36"/>
        <v>01</v>
      </c>
    </row>
    <row r="2016" spans="15:15" x14ac:dyDescent="0.25">
      <c r="O2016" s="55" t="str">
        <f t="shared" si="36"/>
        <v>01</v>
      </c>
    </row>
    <row r="2017" spans="15:15" x14ac:dyDescent="0.25">
      <c r="O2017" s="55" t="str">
        <f t="shared" si="36"/>
        <v>01</v>
      </c>
    </row>
    <row r="2018" spans="15:15" x14ac:dyDescent="0.25">
      <c r="O2018" s="55" t="str">
        <f t="shared" si="36"/>
        <v>01</v>
      </c>
    </row>
    <row r="2019" spans="15:15" x14ac:dyDescent="0.25">
      <c r="O2019" s="55" t="str">
        <f t="shared" si="36"/>
        <v>01</v>
      </c>
    </row>
    <row r="2020" spans="15:15" x14ac:dyDescent="0.25">
      <c r="O2020" s="55" t="str">
        <f t="shared" si="36"/>
        <v>01</v>
      </c>
    </row>
    <row r="2021" spans="15:15" x14ac:dyDescent="0.25">
      <c r="O2021" s="55" t="str">
        <f t="shared" si="36"/>
        <v>01</v>
      </c>
    </row>
    <row r="2022" spans="15:15" x14ac:dyDescent="0.25">
      <c r="O2022" s="55" t="str">
        <f t="shared" si="36"/>
        <v>01</v>
      </c>
    </row>
    <row r="2023" spans="15:15" x14ac:dyDescent="0.25">
      <c r="O2023" s="55" t="str">
        <f t="shared" si="36"/>
        <v>01</v>
      </c>
    </row>
    <row r="2024" spans="15:15" x14ac:dyDescent="0.25">
      <c r="O2024" s="55" t="str">
        <f t="shared" si="36"/>
        <v>01</v>
      </c>
    </row>
    <row r="2025" spans="15:15" x14ac:dyDescent="0.25">
      <c r="O2025" s="55" t="str">
        <f t="shared" si="36"/>
        <v>01</v>
      </c>
    </row>
    <row r="2026" spans="15:15" x14ac:dyDescent="0.25">
      <c r="O2026" s="55" t="str">
        <f t="shared" si="36"/>
        <v>01</v>
      </c>
    </row>
    <row r="2027" spans="15:15" x14ac:dyDescent="0.25">
      <c r="O2027" s="55" t="str">
        <f t="shared" si="36"/>
        <v>01</v>
      </c>
    </row>
    <row r="2028" spans="15:15" x14ac:dyDescent="0.25">
      <c r="O2028" s="55" t="str">
        <f t="shared" si="36"/>
        <v>01</v>
      </c>
    </row>
    <row r="2029" spans="15:15" x14ac:dyDescent="0.25">
      <c r="O2029" s="55" t="str">
        <f t="shared" si="36"/>
        <v>01</v>
      </c>
    </row>
    <row r="2030" spans="15:15" x14ac:dyDescent="0.25">
      <c r="O2030" s="55" t="str">
        <f t="shared" si="36"/>
        <v>01</v>
      </c>
    </row>
    <row r="2031" spans="15:15" x14ac:dyDescent="0.25">
      <c r="O2031" s="55" t="str">
        <f t="shared" si="36"/>
        <v>01</v>
      </c>
    </row>
    <row r="2032" spans="15:15" x14ac:dyDescent="0.25">
      <c r="O2032" s="55" t="str">
        <f t="shared" si="36"/>
        <v>01</v>
      </c>
    </row>
    <row r="2033" spans="15:15" x14ac:dyDescent="0.25">
      <c r="O2033" s="55" t="str">
        <f t="shared" si="36"/>
        <v>01</v>
      </c>
    </row>
    <row r="2034" spans="15:15" x14ac:dyDescent="0.25">
      <c r="O2034" s="55" t="str">
        <f t="shared" si="36"/>
        <v>01</v>
      </c>
    </row>
    <row r="2035" spans="15:15" x14ac:dyDescent="0.25">
      <c r="O2035" s="55" t="str">
        <f t="shared" si="36"/>
        <v>01</v>
      </c>
    </row>
    <row r="2036" spans="15:15" x14ac:dyDescent="0.25">
      <c r="O2036" s="55" t="str">
        <f t="shared" si="36"/>
        <v>01</v>
      </c>
    </row>
    <row r="2037" spans="15:15" x14ac:dyDescent="0.25">
      <c r="O2037" s="55" t="str">
        <f t="shared" si="36"/>
        <v>01</v>
      </c>
    </row>
    <row r="2038" spans="15:15" x14ac:dyDescent="0.25">
      <c r="O2038" s="55" t="str">
        <f t="shared" si="36"/>
        <v>01</v>
      </c>
    </row>
    <row r="2039" spans="15:15" x14ac:dyDescent="0.25">
      <c r="O2039" s="55" t="str">
        <f t="shared" si="36"/>
        <v>01</v>
      </c>
    </row>
    <row r="2040" spans="15:15" x14ac:dyDescent="0.25">
      <c r="O2040" s="55" t="str">
        <f t="shared" si="36"/>
        <v>01</v>
      </c>
    </row>
    <row r="2041" spans="15:15" x14ac:dyDescent="0.25">
      <c r="O2041" s="55" t="str">
        <f t="shared" si="36"/>
        <v>01</v>
      </c>
    </row>
    <row r="2042" spans="15:15" x14ac:dyDescent="0.25">
      <c r="O2042" s="55" t="str">
        <f t="shared" si="36"/>
        <v>01</v>
      </c>
    </row>
    <row r="2043" spans="15:15" x14ac:dyDescent="0.25">
      <c r="O2043" s="55" t="str">
        <f t="shared" si="36"/>
        <v>01</v>
      </c>
    </row>
    <row r="2044" spans="15:15" x14ac:dyDescent="0.25">
      <c r="O2044" s="55" t="str">
        <f t="shared" si="36"/>
        <v>01</v>
      </c>
    </row>
    <row r="2045" spans="15:15" x14ac:dyDescent="0.25">
      <c r="O2045" s="55" t="str">
        <f t="shared" si="36"/>
        <v>01</v>
      </c>
    </row>
    <row r="2046" spans="15:15" x14ac:dyDescent="0.25">
      <c r="O2046" s="55" t="str">
        <f t="shared" si="36"/>
        <v>01</v>
      </c>
    </row>
    <row r="2047" spans="15:15" x14ac:dyDescent="0.25">
      <c r="O2047" s="55" t="str">
        <f t="shared" si="36"/>
        <v>01</v>
      </c>
    </row>
    <row r="2048" spans="15:15" x14ac:dyDescent="0.25">
      <c r="O2048" s="55" t="str">
        <f t="shared" si="36"/>
        <v>01</v>
      </c>
    </row>
    <row r="2049" spans="15:15" x14ac:dyDescent="0.25">
      <c r="O2049" s="55" t="str">
        <f t="shared" si="36"/>
        <v>01</v>
      </c>
    </row>
    <row r="2050" spans="15:15" x14ac:dyDescent="0.25">
      <c r="O2050" s="55" t="str">
        <f t="shared" si="36"/>
        <v>01</v>
      </c>
    </row>
    <row r="2051" spans="15:15" x14ac:dyDescent="0.25">
      <c r="O2051" s="55" t="str">
        <f t="shared" si="36"/>
        <v>01</v>
      </c>
    </row>
    <row r="2052" spans="15:15" x14ac:dyDescent="0.25">
      <c r="O2052" s="55" t="str">
        <f t="shared" si="36"/>
        <v>01</v>
      </c>
    </row>
    <row r="2053" spans="15:15" x14ac:dyDescent="0.25">
      <c r="O2053" s="55" t="str">
        <f t="shared" si="36"/>
        <v>01</v>
      </c>
    </row>
    <row r="2054" spans="15:15" x14ac:dyDescent="0.25">
      <c r="O2054" s="55" t="str">
        <f t="shared" si="36"/>
        <v>01</v>
      </c>
    </row>
    <row r="2055" spans="15:15" x14ac:dyDescent="0.25">
      <c r="O2055" s="55" t="str">
        <f t="shared" si="36"/>
        <v>01</v>
      </c>
    </row>
    <row r="2056" spans="15:15" x14ac:dyDescent="0.25">
      <c r="O2056" s="55" t="str">
        <f t="shared" si="36"/>
        <v>01</v>
      </c>
    </row>
    <row r="2057" spans="15:15" x14ac:dyDescent="0.25">
      <c r="O2057" s="55" t="str">
        <f t="shared" si="36"/>
        <v>01</v>
      </c>
    </row>
    <row r="2058" spans="15:15" x14ac:dyDescent="0.25">
      <c r="O2058" s="55" t="str">
        <f t="shared" si="36"/>
        <v>01</v>
      </c>
    </row>
    <row r="2059" spans="15:15" x14ac:dyDescent="0.25">
      <c r="O2059" s="55" t="str">
        <f t="shared" si="36"/>
        <v>01</v>
      </c>
    </row>
    <row r="2060" spans="15:15" x14ac:dyDescent="0.25">
      <c r="O2060" s="55" t="str">
        <f t="shared" si="36"/>
        <v>01</v>
      </c>
    </row>
    <row r="2061" spans="15:15" x14ac:dyDescent="0.25">
      <c r="O2061" s="55" t="str">
        <f t="shared" si="36"/>
        <v>01</v>
      </c>
    </row>
    <row r="2062" spans="15:15" x14ac:dyDescent="0.25">
      <c r="O2062" s="55" t="str">
        <f t="shared" si="36"/>
        <v>01</v>
      </c>
    </row>
    <row r="2063" spans="15:15" x14ac:dyDescent="0.25">
      <c r="O2063" s="55" t="str">
        <f t="shared" si="36"/>
        <v>01</v>
      </c>
    </row>
    <row r="2064" spans="15:15" x14ac:dyDescent="0.25">
      <c r="O2064" s="55" t="str">
        <f t="shared" si="36"/>
        <v>01</v>
      </c>
    </row>
    <row r="2065" spans="15:15" x14ac:dyDescent="0.25">
      <c r="O2065" s="55" t="str">
        <f t="shared" si="36"/>
        <v>01</v>
      </c>
    </row>
    <row r="2066" spans="15:15" x14ac:dyDescent="0.25">
      <c r="O2066" s="55" t="str">
        <f t="shared" si="36"/>
        <v>01</v>
      </c>
    </row>
    <row r="2067" spans="15:15" x14ac:dyDescent="0.25">
      <c r="O2067" s="55" t="str">
        <f t="shared" si="36"/>
        <v>01</v>
      </c>
    </row>
    <row r="2068" spans="15:15" x14ac:dyDescent="0.25">
      <c r="O2068" s="55" t="str">
        <f t="shared" si="36"/>
        <v>01</v>
      </c>
    </row>
    <row r="2069" spans="15:15" x14ac:dyDescent="0.25">
      <c r="O2069" s="55" t="str">
        <f t="shared" si="36"/>
        <v>01</v>
      </c>
    </row>
    <row r="2070" spans="15:15" x14ac:dyDescent="0.25">
      <c r="O2070" s="55" t="str">
        <f t="shared" si="36"/>
        <v>01</v>
      </c>
    </row>
    <row r="2071" spans="15:15" x14ac:dyDescent="0.25">
      <c r="O2071" s="55" t="str">
        <f t="shared" si="36"/>
        <v>01</v>
      </c>
    </row>
    <row r="2072" spans="15:15" x14ac:dyDescent="0.25">
      <c r="O2072" s="55" t="str">
        <f t="shared" si="36"/>
        <v>01</v>
      </c>
    </row>
    <row r="2073" spans="15:15" x14ac:dyDescent="0.25">
      <c r="O2073" s="55" t="str">
        <f t="shared" si="36"/>
        <v>01</v>
      </c>
    </row>
    <row r="2074" spans="15:15" x14ac:dyDescent="0.25">
      <c r="O2074" s="55" t="str">
        <f t="shared" ref="O2074:O2137" si="37">+TEXT(H2074,"MM")</f>
        <v>01</v>
      </c>
    </row>
    <row r="2075" spans="15:15" x14ac:dyDescent="0.25">
      <c r="O2075" s="55" t="str">
        <f t="shared" si="37"/>
        <v>01</v>
      </c>
    </row>
    <row r="2076" spans="15:15" x14ac:dyDescent="0.25">
      <c r="O2076" s="55" t="str">
        <f t="shared" si="37"/>
        <v>01</v>
      </c>
    </row>
    <row r="2077" spans="15:15" x14ac:dyDescent="0.25">
      <c r="O2077" s="55" t="str">
        <f t="shared" si="37"/>
        <v>01</v>
      </c>
    </row>
    <row r="2078" spans="15:15" x14ac:dyDescent="0.25">
      <c r="O2078" s="55" t="str">
        <f t="shared" si="37"/>
        <v>01</v>
      </c>
    </row>
    <row r="2079" spans="15:15" x14ac:dyDescent="0.25">
      <c r="O2079" s="55" t="str">
        <f t="shared" si="37"/>
        <v>01</v>
      </c>
    </row>
    <row r="2080" spans="15:15" x14ac:dyDescent="0.25">
      <c r="O2080" s="55" t="str">
        <f t="shared" si="37"/>
        <v>01</v>
      </c>
    </row>
    <row r="2081" spans="15:15" x14ac:dyDescent="0.25">
      <c r="O2081" s="55" t="str">
        <f t="shared" si="37"/>
        <v>01</v>
      </c>
    </row>
    <row r="2082" spans="15:15" x14ac:dyDescent="0.25">
      <c r="O2082" s="55" t="str">
        <f t="shared" si="37"/>
        <v>01</v>
      </c>
    </row>
    <row r="2083" spans="15:15" x14ac:dyDescent="0.25">
      <c r="O2083" s="55" t="str">
        <f t="shared" si="37"/>
        <v>01</v>
      </c>
    </row>
    <row r="2084" spans="15:15" x14ac:dyDescent="0.25">
      <c r="O2084" s="55" t="str">
        <f t="shared" si="37"/>
        <v>01</v>
      </c>
    </row>
    <row r="2085" spans="15:15" x14ac:dyDescent="0.25">
      <c r="O2085" s="55" t="str">
        <f t="shared" si="37"/>
        <v>01</v>
      </c>
    </row>
    <row r="2086" spans="15:15" x14ac:dyDescent="0.25">
      <c r="O2086" s="55" t="str">
        <f t="shared" si="37"/>
        <v>01</v>
      </c>
    </row>
    <row r="2087" spans="15:15" x14ac:dyDescent="0.25">
      <c r="O2087" s="55" t="str">
        <f t="shared" si="37"/>
        <v>01</v>
      </c>
    </row>
    <row r="2088" spans="15:15" x14ac:dyDescent="0.25">
      <c r="O2088" s="55" t="str">
        <f t="shared" si="37"/>
        <v>01</v>
      </c>
    </row>
    <row r="2089" spans="15:15" x14ac:dyDescent="0.25">
      <c r="O2089" s="55" t="str">
        <f t="shared" si="37"/>
        <v>01</v>
      </c>
    </row>
    <row r="2090" spans="15:15" x14ac:dyDescent="0.25">
      <c r="O2090" s="55" t="str">
        <f t="shared" si="37"/>
        <v>01</v>
      </c>
    </row>
    <row r="2091" spans="15:15" x14ac:dyDescent="0.25">
      <c r="O2091" s="55" t="str">
        <f t="shared" si="37"/>
        <v>01</v>
      </c>
    </row>
    <row r="2092" spans="15:15" x14ac:dyDescent="0.25">
      <c r="O2092" s="55" t="str">
        <f t="shared" si="37"/>
        <v>01</v>
      </c>
    </row>
    <row r="2093" spans="15:15" x14ac:dyDescent="0.25">
      <c r="O2093" s="55" t="str">
        <f t="shared" si="37"/>
        <v>01</v>
      </c>
    </row>
    <row r="2094" spans="15:15" x14ac:dyDescent="0.25">
      <c r="O2094" s="55" t="str">
        <f t="shared" si="37"/>
        <v>01</v>
      </c>
    </row>
    <row r="2095" spans="15:15" x14ac:dyDescent="0.25">
      <c r="O2095" s="55" t="str">
        <f t="shared" si="37"/>
        <v>01</v>
      </c>
    </row>
    <row r="2096" spans="15:15" x14ac:dyDescent="0.25">
      <c r="O2096" s="55" t="str">
        <f t="shared" si="37"/>
        <v>01</v>
      </c>
    </row>
    <row r="2097" spans="15:15" x14ac:dyDescent="0.25">
      <c r="O2097" s="55" t="str">
        <f t="shared" si="37"/>
        <v>01</v>
      </c>
    </row>
    <row r="2098" spans="15:15" x14ac:dyDescent="0.25">
      <c r="O2098" s="55" t="str">
        <f t="shared" si="37"/>
        <v>01</v>
      </c>
    </row>
    <row r="2099" spans="15:15" x14ac:dyDescent="0.25">
      <c r="O2099" s="55" t="str">
        <f t="shared" si="37"/>
        <v>01</v>
      </c>
    </row>
    <row r="2100" spans="15:15" x14ac:dyDescent="0.25">
      <c r="O2100" s="55" t="str">
        <f t="shared" si="37"/>
        <v>01</v>
      </c>
    </row>
    <row r="2101" spans="15:15" x14ac:dyDescent="0.25">
      <c r="O2101" s="55" t="str">
        <f t="shared" si="37"/>
        <v>01</v>
      </c>
    </row>
    <row r="2102" spans="15:15" x14ac:dyDescent="0.25">
      <c r="O2102" s="55" t="str">
        <f t="shared" si="37"/>
        <v>01</v>
      </c>
    </row>
    <row r="2103" spans="15:15" x14ac:dyDescent="0.25">
      <c r="O2103" s="55" t="str">
        <f t="shared" si="37"/>
        <v>01</v>
      </c>
    </row>
    <row r="2104" spans="15:15" x14ac:dyDescent="0.25">
      <c r="O2104" s="55" t="str">
        <f t="shared" si="37"/>
        <v>01</v>
      </c>
    </row>
    <row r="2105" spans="15:15" x14ac:dyDescent="0.25">
      <c r="O2105" s="55" t="str">
        <f t="shared" si="37"/>
        <v>01</v>
      </c>
    </row>
    <row r="2106" spans="15:15" x14ac:dyDescent="0.25">
      <c r="O2106" s="55" t="str">
        <f t="shared" si="37"/>
        <v>01</v>
      </c>
    </row>
    <row r="2107" spans="15:15" x14ac:dyDescent="0.25">
      <c r="O2107" s="55" t="str">
        <f t="shared" si="37"/>
        <v>01</v>
      </c>
    </row>
    <row r="2108" spans="15:15" x14ac:dyDescent="0.25">
      <c r="O2108" s="55" t="str">
        <f t="shared" si="37"/>
        <v>01</v>
      </c>
    </row>
    <row r="2109" spans="15:15" x14ac:dyDescent="0.25">
      <c r="O2109" s="55" t="str">
        <f t="shared" si="37"/>
        <v>01</v>
      </c>
    </row>
    <row r="2110" spans="15:15" x14ac:dyDescent="0.25">
      <c r="O2110" s="55" t="str">
        <f t="shared" si="37"/>
        <v>01</v>
      </c>
    </row>
    <row r="2111" spans="15:15" x14ac:dyDescent="0.25">
      <c r="O2111" s="55" t="str">
        <f t="shared" si="37"/>
        <v>01</v>
      </c>
    </row>
    <row r="2112" spans="15:15" x14ac:dyDescent="0.25">
      <c r="O2112" s="55" t="str">
        <f t="shared" si="37"/>
        <v>01</v>
      </c>
    </row>
    <row r="2113" spans="15:15" x14ac:dyDescent="0.25">
      <c r="O2113" s="55" t="str">
        <f t="shared" si="37"/>
        <v>01</v>
      </c>
    </row>
    <row r="2114" spans="15:15" x14ac:dyDescent="0.25">
      <c r="O2114" s="55" t="str">
        <f t="shared" si="37"/>
        <v>01</v>
      </c>
    </row>
    <row r="2115" spans="15:15" x14ac:dyDescent="0.25">
      <c r="O2115" s="55" t="str">
        <f t="shared" si="37"/>
        <v>01</v>
      </c>
    </row>
    <row r="2116" spans="15:15" x14ac:dyDescent="0.25">
      <c r="O2116" s="55" t="str">
        <f t="shared" si="37"/>
        <v>01</v>
      </c>
    </row>
    <row r="2117" spans="15:15" x14ac:dyDescent="0.25">
      <c r="O2117" s="55" t="str">
        <f t="shared" si="37"/>
        <v>01</v>
      </c>
    </row>
    <row r="2118" spans="15:15" x14ac:dyDescent="0.25">
      <c r="O2118" s="55" t="str">
        <f t="shared" si="37"/>
        <v>01</v>
      </c>
    </row>
    <row r="2119" spans="15:15" x14ac:dyDescent="0.25">
      <c r="O2119" s="55" t="str">
        <f t="shared" si="37"/>
        <v>01</v>
      </c>
    </row>
    <row r="2120" spans="15:15" x14ac:dyDescent="0.25">
      <c r="O2120" s="55" t="str">
        <f t="shared" si="37"/>
        <v>01</v>
      </c>
    </row>
    <row r="2121" spans="15:15" x14ac:dyDescent="0.25">
      <c r="O2121" s="55" t="str">
        <f t="shared" si="37"/>
        <v>01</v>
      </c>
    </row>
    <row r="2122" spans="15:15" x14ac:dyDescent="0.25">
      <c r="O2122" s="55" t="str">
        <f t="shared" si="37"/>
        <v>01</v>
      </c>
    </row>
    <row r="2123" spans="15:15" x14ac:dyDescent="0.25">
      <c r="O2123" s="55" t="str">
        <f t="shared" si="37"/>
        <v>01</v>
      </c>
    </row>
    <row r="2124" spans="15:15" x14ac:dyDescent="0.25">
      <c r="O2124" s="55" t="str">
        <f t="shared" si="37"/>
        <v>01</v>
      </c>
    </row>
    <row r="2125" spans="15:15" x14ac:dyDescent="0.25">
      <c r="O2125" s="55" t="str">
        <f t="shared" si="37"/>
        <v>01</v>
      </c>
    </row>
    <row r="2126" spans="15:15" x14ac:dyDescent="0.25">
      <c r="O2126" s="55" t="str">
        <f t="shared" si="37"/>
        <v>01</v>
      </c>
    </row>
    <row r="2127" spans="15:15" x14ac:dyDescent="0.25">
      <c r="O2127" s="55" t="str">
        <f t="shared" si="37"/>
        <v>01</v>
      </c>
    </row>
    <row r="2128" spans="15:15" x14ac:dyDescent="0.25">
      <c r="O2128" s="55" t="str">
        <f t="shared" si="37"/>
        <v>01</v>
      </c>
    </row>
    <row r="2129" spans="15:15" x14ac:dyDescent="0.25">
      <c r="O2129" s="55" t="str">
        <f t="shared" si="37"/>
        <v>01</v>
      </c>
    </row>
    <row r="2130" spans="15:15" x14ac:dyDescent="0.25">
      <c r="O2130" s="55" t="str">
        <f t="shared" si="37"/>
        <v>01</v>
      </c>
    </row>
    <row r="2131" spans="15:15" x14ac:dyDescent="0.25">
      <c r="O2131" s="55" t="str">
        <f t="shared" si="37"/>
        <v>01</v>
      </c>
    </row>
    <row r="2132" spans="15:15" x14ac:dyDescent="0.25">
      <c r="O2132" s="55" t="str">
        <f t="shared" si="37"/>
        <v>01</v>
      </c>
    </row>
    <row r="2133" spans="15:15" x14ac:dyDescent="0.25">
      <c r="O2133" s="55" t="str">
        <f t="shared" si="37"/>
        <v>01</v>
      </c>
    </row>
    <row r="2134" spans="15:15" x14ac:dyDescent="0.25">
      <c r="O2134" s="55" t="str">
        <f t="shared" si="37"/>
        <v>01</v>
      </c>
    </row>
    <row r="2135" spans="15:15" x14ac:dyDescent="0.25">
      <c r="O2135" s="55" t="str">
        <f t="shared" si="37"/>
        <v>01</v>
      </c>
    </row>
    <row r="2136" spans="15:15" x14ac:dyDescent="0.25">
      <c r="O2136" s="55" t="str">
        <f t="shared" si="37"/>
        <v>01</v>
      </c>
    </row>
    <row r="2137" spans="15:15" x14ac:dyDescent="0.25">
      <c r="O2137" s="55" t="str">
        <f t="shared" si="37"/>
        <v>01</v>
      </c>
    </row>
    <row r="2138" spans="15:15" x14ac:dyDescent="0.25">
      <c r="O2138" s="55" t="str">
        <f t="shared" ref="O2138:O2201" si="38">+TEXT(H2138,"MM")</f>
        <v>01</v>
      </c>
    </row>
    <row r="2139" spans="15:15" x14ac:dyDescent="0.25">
      <c r="O2139" s="55" t="str">
        <f t="shared" si="38"/>
        <v>01</v>
      </c>
    </row>
    <row r="2140" spans="15:15" x14ac:dyDescent="0.25">
      <c r="O2140" s="55" t="str">
        <f t="shared" si="38"/>
        <v>01</v>
      </c>
    </row>
    <row r="2141" spans="15:15" x14ac:dyDescent="0.25">
      <c r="O2141" s="55" t="str">
        <f t="shared" si="38"/>
        <v>01</v>
      </c>
    </row>
    <row r="2142" spans="15:15" x14ac:dyDescent="0.25">
      <c r="O2142" s="55" t="str">
        <f t="shared" si="38"/>
        <v>01</v>
      </c>
    </row>
    <row r="2143" spans="15:15" x14ac:dyDescent="0.25">
      <c r="O2143" s="55" t="str">
        <f t="shared" si="38"/>
        <v>01</v>
      </c>
    </row>
    <row r="2144" spans="15:15" x14ac:dyDescent="0.25">
      <c r="O2144" s="55" t="str">
        <f t="shared" si="38"/>
        <v>01</v>
      </c>
    </row>
    <row r="2145" spans="15:15" x14ac:dyDescent="0.25">
      <c r="O2145" s="55" t="str">
        <f t="shared" si="38"/>
        <v>01</v>
      </c>
    </row>
    <row r="2146" spans="15:15" x14ac:dyDescent="0.25">
      <c r="O2146" s="55" t="str">
        <f t="shared" si="38"/>
        <v>01</v>
      </c>
    </row>
    <row r="2147" spans="15:15" x14ac:dyDescent="0.25">
      <c r="O2147" s="55" t="str">
        <f t="shared" si="38"/>
        <v>01</v>
      </c>
    </row>
    <row r="2148" spans="15:15" x14ac:dyDescent="0.25">
      <c r="O2148" s="55" t="str">
        <f t="shared" si="38"/>
        <v>01</v>
      </c>
    </row>
    <row r="2149" spans="15:15" x14ac:dyDescent="0.25">
      <c r="O2149" s="55" t="str">
        <f t="shared" si="38"/>
        <v>01</v>
      </c>
    </row>
    <row r="2150" spans="15:15" x14ac:dyDescent="0.25">
      <c r="O2150" s="55" t="str">
        <f t="shared" si="38"/>
        <v>01</v>
      </c>
    </row>
    <row r="2151" spans="15:15" x14ac:dyDescent="0.25">
      <c r="O2151" s="55" t="str">
        <f t="shared" si="38"/>
        <v>01</v>
      </c>
    </row>
    <row r="2152" spans="15:15" x14ac:dyDescent="0.25">
      <c r="O2152" s="55" t="str">
        <f t="shared" si="38"/>
        <v>01</v>
      </c>
    </row>
    <row r="2153" spans="15:15" x14ac:dyDescent="0.25">
      <c r="O2153" s="55" t="str">
        <f t="shared" si="38"/>
        <v>01</v>
      </c>
    </row>
    <row r="2154" spans="15:15" x14ac:dyDescent="0.25">
      <c r="O2154" s="55" t="str">
        <f t="shared" si="38"/>
        <v>01</v>
      </c>
    </row>
    <row r="2155" spans="15:15" x14ac:dyDescent="0.25">
      <c r="O2155" s="55" t="str">
        <f t="shared" si="38"/>
        <v>01</v>
      </c>
    </row>
    <row r="2156" spans="15:15" x14ac:dyDescent="0.25">
      <c r="O2156" s="55" t="str">
        <f t="shared" si="38"/>
        <v>01</v>
      </c>
    </row>
    <row r="2157" spans="15:15" x14ac:dyDescent="0.25">
      <c r="O2157" s="55" t="str">
        <f t="shared" si="38"/>
        <v>01</v>
      </c>
    </row>
    <row r="2158" spans="15:15" x14ac:dyDescent="0.25">
      <c r="O2158" s="55" t="str">
        <f t="shared" si="38"/>
        <v>01</v>
      </c>
    </row>
    <row r="2159" spans="15:15" x14ac:dyDescent="0.25">
      <c r="O2159" s="55" t="str">
        <f t="shared" si="38"/>
        <v>01</v>
      </c>
    </row>
    <row r="2160" spans="15:15" x14ac:dyDescent="0.25">
      <c r="O2160" s="55" t="str">
        <f t="shared" si="38"/>
        <v>01</v>
      </c>
    </row>
    <row r="2161" spans="15:15" x14ac:dyDescent="0.25">
      <c r="O2161" s="55" t="str">
        <f t="shared" si="38"/>
        <v>01</v>
      </c>
    </row>
    <row r="2162" spans="15:15" x14ac:dyDescent="0.25">
      <c r="O2162" s="55" t="str">
        <f t="shared" si="38"/>
        <v>01</v>
      </c>
    </row>
    <row r="2163" spans="15:15" x14ac:dyDescent="0.25">
      <c r="O2163" s="55" t="str">
        <f t="shared" si="38"/>
        <v>01</v>
      </c>
    </row>
    <row r="2164" spans="15:15" x14ac:dyDescent="0.25">
      <c r="O2164" s="55" t="str">
        <f t="shared" si="38"/>
        <v>01</v>
      </c>
    </row>
    <row r="2165" spans="15:15" x14ac:dyDescent="0.25">
      <c r="O2165" s="55" t="str">
        <f t="shared" si="38"/>
        <v>01</v>
      </c>
    </row>
    <row r="2166" spans="15:15" x14ac:dyDescent="0.25">
      <c r="O2166" s="55" t="str">
        <f t="shared" si="38"/>
        <v>01</v>
      </c>
    </row>
    <row r="2167" spans="15:15" x14ac:dyDescent="0.25">
      <c r="O2167" s="55" t="str">
        <f t="shared" si="38"/>
        <v>01</v>
      </c>
    </row>
    <row r="2168" spans="15:15" x14ac:dyDescent="0.25">
      <c r="O2168" s="55" t="str">
        <f t="shared" si="38"/>
        <v>01</v>
      </c>
    </row>
    <row r="2169" spans="15:15" x14ac:dyDescent="0.25">
      <c r="O2169" s="55" t="str">
        <f t="shared" si="38"/>
        <v>01</v>
      </c>
    </row>
    <row r="2170" spans="15:15" x14ac:dyDescent="0.25">
      <c r="O2170" s="55" t="str">
        <f t="shared" si="38"/>
        <v>01</v>
      </c>
    </row>
    <row r="2171" spans="15:15" x14ac:dyDescent="0.25">
      <c r="O2171" s="55" t="str">
        <f t="shared" si="38"/>
        <v>01</v>
      </c>
    </row>
    <row r="2172" spans="15:15" x14ac:dyDescent="0.25">
      <c r="O2172" s="55" t="str">
        <f t="shared" si="38"/>
        <v>01</v>
      </c>
    </row>
    <row r="2173" spans="15:15" x14ac:dyDescent="0.25">
      <c r="O2173" s="55" t="str">
        <f t="shared" si="38"/>
        <v>01</v>
      </c>
    </row>
    <row r="2174" spans="15:15" x14ac:dyDescent="0.25">
      <c r="O2174" s="55" t="str">
        <f t="shared" si="38"/>
        <v>01</v>
      </c>
    </row>
    <row r="2175" spans="15:15" x14ac:dyDescent="0.25">
      <c r="O2175" s="55" t="str">
        <f t="shared" si="38"/>
        <v>01</v>
      </c>
    </row>
    <row r="2176" spans="15:15" x14ac:dyDescent="0.25">
      <c r="O2176" s="55" t="str">
        <f t="shared" si="38"/>
        <v>01</v>
      </c>
    </row>
    <row r="2177" spans="15:15" x14ac:dyDescent="0.25">
      <c r="O2177" s="55" t="str">
        <f t="shared" si="38"/>
        <v>01</v>
      </c>
    </row>
    <row r="2178" spans="15:15" x14ac:dyDescent="0.25">
      <c r="O2178" s="55" t="str">
        <f t="shared" si="38"/>
        <v>01</v>
      </c>
    </row>
    <row r="2179" spans="15:15" x14ac:dyDescent="0.25">
      <c r="O2179" s="55" t="str">
        <f t="shared" si="38"/>
        <v>01</v>
      </c>
    </row>
    <row r="2180" spans="15:15" x14ac:dyDescent="0.25">
      <c r="O2180" s="55" t="str">
        <f t="shared" si="38"/>
        <v>01</v>
      </c>
    </row>
    <row r="2181" spans="15:15" x14ac:dyDescent="0.25">
      <c r="O2181" s="55" t="str">
        <f t="shared" si="38"/>
        <v>01</v>
      </c>
    </row>
    <row r="2182" spans="15:15" x14ac:dyDescent="0.25">
      <c r="O2182" s="55" t="str">
        <f t="shared" si="38"/>
        <v>01</v>
      </c>
    </row>
    <row r="2183" spans="15:15" x14ac:dyDescent="0.25">
      <c r="O2183" s="55" t="str">
        <f t="shared" si="38"/>
        <v>01</v>
      </c>
    </row>
    <row r="2184" spans="15:15" x14ac:dyDescent="0.25">
      <c r="O2184" s="55" t="str">
        <f t="shared" si="38"/>
        <v>01</v>
      </c>
    </row>
    <row r="2185" spans="15:15" x14ac:dyDescent="0.25">
      <c r="O2185" s="55" t="str">
        <f t="shared" si="38"/>
        <v>01</v>
      </c>
    </row>
    <row r="2186" spans="15:15" x14ac:dyDescent="0.25">
      <c r="O2186" s="55" t="str">
        <f t="shared" si="38"/>
        <v>01</v>
      </c>
    </row>
    <row r="2187" spans="15:15" x14ac:dyDescent="0.25">
      <c r="O2187" s="55" t="str">
        <f t="shared" si="38"/>
        <v>01</v>
      </c>
    </row>
    <row r="2188" spans="15:15" x14ac:dyDescent="0.25">
      <c r="O2188" s="55" t="str">
        <f t="shared" si="38"/>
        <v>01</v>
      </c>
    </row>
    <row r="2189" spans="15:15" x14ac:dyDescent="0.25">
      <c r="O2189" s="55" t="str">
        <f t="shared" si="38"/>
        <v>01</v>
      </c>
    </row>
    <row r="2190" spans="15:15" x14ac:dyDescent="0.25">
      <c r="O2190" s="55" t="str">
        <f t="shared" si="38"/>
        <v>01</v>
      </c>
    </row>
    <row r="2191" spans="15:15" x14ac:dyDescent="0.25">
      <c r="O2191" s="55" t="str">
        <f t="shared" si="38"/>
        <v>01</v>
      </c>
    </row>
    <row r="2192" spans="15:15" x14ac:dyDescent="0.25">
      <c r="O2192" s="55" t="str">
        <f t="shared" si="38"/>
        <v>01</v>
      </c>
    </row>
    <row r="2193" spans="15:15" x14ac:dyDescent="0.25">
      <c r="O2193" s="55" t="str">
        <f t="shared" si="38"/>
        <v>01</v>
      </c>
    </row>
    <row r="2194" spans="15:15" x14ac:dyDescent="0.25">
      <c r="O2194" s="55" t="str">
        <f t="shared" si="38"/>
        <v>01</v>
      </c>
    </row>
    <row r="2195" spans="15:15" x14ac:dyDescent="0.25">
      <c r="O2195" s="55" t="str">
        <f t="shared" si="38"/>
        <v>01</v>
      </c>
    </row>
    <row r="2196" spans="15:15" x14ac:dyDescent="0.25">
      <c r="O2196" s="55" t="str">
        <f t="shared" si="38"/>
        <v>01</v>
      </c>
    </row>
    <row r="2197" spans="15:15" x14ac:dyDescent="0.25">
      <c r="O2197" s="55" t="str">
        <f t="shared" si="38"/>
        <v>01</v>
      </c>
    </row>
    <row r="2198" spans="15:15" x14ac:dyDescent="0.25">
      <c r="O2198" s="55" t="str">
        <f t="shared" si="38"/>
        <v>01</v>
      </c>
    </row>
    <row r="2199" spans="15:15" x14ac:dyDescent="0.25">
      <c r="O2199" s="55" t="str">
        <f t="shared" si="38"/>
        <v>01</v>
      </c>
    </row>
    <row r="2200" spans="15:15" x14ac:dyDescent="0.25">
      <c r="O2200" s="55" t="str">
        <f t="shared" si="38"/>
        <v>01</v>
      </c>
    </row>
    <row r="2201" spans="15:15" x14ac:dyDescent="0.25">
      <c r="O2201" s="55" t="str">
        <f t="shared" si="38"/>
        <v>01</v>
      </c>
    </row>
    <row r="2202" spans="15:15" x14ac:dyDescent="0.25">
      <c r="O2202" s="55" t="str">
        <f t="shared" ref="O2202:O2265" si="39">+TEXT(H2202,"MM")</f>
        <v>01</v>
      </c>
    </row>
    <row r="2203" spans="15:15" x14ac:dyDescent="0.25">
      <c r="O2203" s="55" t="str">
        <f t="shared" si="39"/>
        <v>01</v>
      </c>
    </row>
    <row r="2204" spans="15:15" x14ac:dyDescent="0.25">
      <c r="O2204" s="55" t="str">
        <f t="shared" si="39"/>
        <v>01</v>
      </c>
    </row>
    <row r="2205" spans="15:15" x14ac:dyDescent="0.25">
      <c r="O2205" s="55" t="str">
        <f t="shared" si="39"/>
        <v>01</v>
      </c>
    </row>
    <row r="2206" spans="15:15" x14ac:dyDescent="0.25">
      <c r="O2206" s="55" t="str">
        <f t="shared" si="39"/>
        <v>01</v>
      </c>
    </row>
    <row r="2207" spans="15:15" x14ac:dyDescent="0.25">
      <c r="O2207" s="55" t="str">
        <f t="shared" si="39"/>
        <v>01</v>
      </c>
    </row>
    <row r="2208" spans="15:15" x14ac:dyDescent="0.25">
      <c r="O2208" s="55" t="str">
        <f t="shared" si="39"/>
        <v>01</v>
      </c>
    </row>
    <row r="2209" spans="15:15" x14ac:dyDescent="0.25">
      <c r="O2209" s="55" t="str">
        <f t="shared" si="39"/>
        <v>01</v>
      </c>
    </row>
    <row r="2210" spans="15:15" x14ac:dyDescent="0.25">
      <c r="O2210" s="55" t="str">
        <f t="shared" si="39"/>
        <v>01</v>
      </c>
    </row>
    <row r="2211" spans="15:15" x14ac:dyDescent="0.25">
      <c r="O2211" s="55" t="str">
        <f t="shared" si="39"/>
        <v>01</v>
      </c>
    </row>
    <row r="2212" spans="15:15" x14ac:dyDescent="0.25">
      <c r="O2212" s="55" t="str">
        <f t="shared" si="39"/>
        <v>01</v>
      </c>
    </row>
    <row r="2213" spans="15:15" x14ac:dyDescent="0.25">
      <c r="O2213" s="55" t="str">
        <f t="shared" si="39"/>
        <v>01</v>
      </c>
    </row>
    <row r="2214" spans="15:15" x14ac:dyDescent="0.25">
      <c r="O2214" s="55" t="str">
        <f t="shared" si="39"/>
        <v>01</v>
      </c>
    </row>
    <row r="2215" spans="15:15" x14ac:dyDescent="0.25">
      <c r="O2215" s="55" t="str">
        <f t="shared" si="39"/>
        <v>01</v>
      </c>
    </row>
    <row r="2216" spans="15:15" x14ac:dyDescent="0.25">
      <c r="O2216" s="55" t="str">
        <f t="shared" si="39"/>
        <v>01</v>
      </c>
    </row>
    <row r="2217" spans="15:15" x14ac:dyDescent="0.25">
      <c r="O2217" s="55" t="str">
        <f t="shared" si="39"/>
        <v>01</v>
      </c>
    </row>
    <row r="2218" spans="15:15" x14ac:dyDescent="0.25">
      <c r="O2218" s="55" t="str">
        <f t="shared" si="39"/>
        <v>01</v>
      </c>
    </row>
    <row r="2219" spans="15:15" x14ac:dyDescent="0.25">
      <c r="O2219" s="55" t="str">
        <f t="shared" si="39"/>
        <v>01</v>
      </c>
    </row>
    <row r="2220" spans="15:15" x14ac:dyDescent="0.25">
      <c r="O2220" s="55" t="str">
        <f t="shared" si="39"/>
        <v>01</v>
      </c>
    </row>
    <row r="2221" spans="15:15" x14ac:dyDescent="0.25">
      <c r="O2221" s="55" t="str">
        <f t="shared" si="39"/>
        <v>01</v>
      </c>
    </row>
    <row r="2222" spans="15:15" x14ac:dyDescent="0.25">
      <c r="O2222" s="55" t="str">
        <f t="shared" si="39"/>
        <v>01</v>
      </c>
    </row>
    <row r="2223" spans="15:15" x14ac:dyDescent="0.25">
      <c r="O2223" s="55" t="str">
        <f t="shared" si="39"/>
        <v>01</v>
      </c>
    </row>
    <row r="2224" spans="15:15" x14ac:dyDescent="0.25">
      <c r="O2224" s="55" t="str">
        <f t="shared" si="39"/>
        <v>01</v>
      </c>
    </row>
    <row r="2225" spans="15:15" x14ac:dyDescent="0.25">
      <c r="O2225" s="55" t="str">
        <f t="shared" si="39"/>
        <v>01</v>
      </c>
    </row>
    <row r="2226" spans="15:15" x14ac:dyDescent="0.25">
      <c r="O2226" s="55" t="str">
        <f t="shared" si="39"/>
        <v>01</v>
      </c>
    </row>
    <row r="2227" spans="15:15" x14ac:dyDescent="0.25">
      <c r="O2227" s="55" t="str">
        <f t="shared" si="39"/>
        <v>01</v>
      </c>
    </row>
    <row r="2228" spans="15:15" x14ac:dyDescent="0.25">
      <c r="O2228" s="55" t="str">
        <f t="shared" si="39"/>
        <v>01</v>
      </c>
    </row>
    <row r="2229" spans="15:15" x14ac:dyDescent="0.25">
      <c r="O2229" s="55" t="str">
        <f t="shared" si="39"/>
        <v>01</v>
      </c>
    </row>
    <row r="2230" spans="15:15" x14ac:dyDescent="0.25">
      <c r="O2230" s="55" t="str">
        <f t="shared" si="39"/>
        <v>01</v>
      </c>
    </row>
    <row r="2231" spans="15:15" x14ac:dyDescent="0.25">
      <c r="O2231" s="55" t="str">
        <f t="shared" si="39"/>
        <v>01</v>
      </c>
    </row>
    <row r="2232" spans="15:15" x14ac:dyDescent="0.25">
      <c r="O2232" s="55" t="str">
        <f t="shared" si="39"/>
        <v>01</v>
      </c>
    </row>
    <row r="2233" spans="15:15" x14ac:dyDescent="0.25">
      <c r="O2233" s="55" t="str">
        <f t="shared" si="39"/>
        <v>01</v>
      </c>
    </row>
    <row r="2234" spans="15:15" x14ac:dyDescent="0.25">
      <c r="O2234" s="55" t="str">
        <f t="shared" si="39"/>
        <v>01</v>
      </c>
    </row>
    <row r="2235" spans="15:15" x14ac:dyDescent="0.25">
      <c r="O2235" s="55" t="str">
        <f t="shared" si="39"/>
        <v>01</v>
      </c>
    </row>
    <row r="2236" spans="15:15" x14ac:dyDescent="0.25">
      <c r="O2236" s="55" t="str">
        <f t="shared" si="39"/>
        <v>01</v>
      </c>
    </row>
    <row r="2237" spans="15:15" x14ac:dyDescent="0.25">
      <c r="O2237" s="55" t="str">
        <f t="shared" si="39"/>
        <v>01</v>
      </c>
    </row>
    <row r="2238" spans="15:15" x14ac:dyDescent="0.25">
      <c r="O2238" s="55" t="str">
        <f t="shared" si="39"/>
        <v>01</v>
      </c>
    </row>
    <row r="2239" spans="15:15" x14ac:dyDescent="0.25">
      <c r="O2239" s="55" t="str">
        <f t="shared" si="39"/>
        <v>01</v>
      </c>
    </row>
    <row r="2240" spans="15:15" x14ac:dyDescent="0.25">
      <c r="O2240" s="55" t="str">
        <f t="shared" si="39"/>
        <v>01</v>
      </c>
    </row>
    <row r="2241" spans="15:15" x14ac:dyDescent="0.25">
      <c r="O2241" s="55" t="str">
        <f t="shared" si="39"/>
        <v>01</v>
      </c>
    </row>
    <row r="2242" spans="15:15" x14ac:dyDescent="0.25">
      <c r="O2242" s="55" t="str">
        <f t="shared" si="39"/>
        <v>01</v>
      </c>
    </row>
    <row r="2243" spans="15:15" x14ac:dyDescent="0.25">
      <c r="O2243" s="55" t="str">
        <f t="shared" si="39"/>
        <v>01</v>
      </c>
    </row>
    <row r="2244" spans="15:15" x14ac:dyDescent="0.25">
      <c r="O2244" s="55" t="str">
        <f t="shared" si="39"/>
        <v>01</v>
      </c>
    </row>
    <row r="2245" spans="15:15" x14ac:dyDescent="0.25">
      <c r="O2245" s="55" t="str">
        <f t="shared" si="39"/>
        <v>01</v>
      </c>
    </row>
    <row r="2246" spans="15:15" x14ac:dyDescent="0.25">
      <c r="O2246" s="55" t="str">
        <f t="shared" si="39"/>
        <v>01</v>
      </c>
    </row>
    <row r="2247" spans="15:15" x14ac:dyDescent="0.25">
      <c r="O2247" s="55" t="str">
        <f t="shared" si="39"/>
        <v>01</v>
      </c>
    </row>
    <row r="2248" spans="15:15" x14ac:dyDescent="0.25">
      <c r="O2248" s="55" t="str">
        <f t="shared" si="39"/>
        <v>01</v>
      </c>
    </row>
    <row r="2249" spans="15:15" x14ac:dyDescent="0.25">
      <c r="O2249" s="55" t="str">
        <f t="shared" si="39"/>
        <v>01</v>
      </c>
    </row>
    <row r="2250" spans="15:15" x14ac:dyDescent="0.25">
      <c r="O2250" s="55" t="str">
        <f t="shared" si="39"/>
        <v>01</v>
      </c>
    </row>
    <row r="2251" spans="15:15" x14ac:dyDescent="0.25">
      <c r="O2251" s="55" t="str">
        <f t="shared" si="39"/>
        <v>01</v>
      </c>
    </row>
    <row r="2252" spans="15:15" x14ac:dyDescent="0.25">
      <c r="O2252" s="55" t="str">
        <f t="shared" si="39"/>
        <v>01</v>
      </c>
    </row>
    <row r="2253" spans="15:15" x14ac:dyDescent="0.25">
      <c r="O2253" s="55" t="str">
        <f t="shared" si="39"/>
        <v>01</v>
      </c>
    </row>
    <row r="2254" spans="15:15" x14ac:dyDescent="0.25">
      <c r="O2254" s="55" t="str">
        <f t="shared" si="39"/>
        <v>01</v>
      </c>
    </row>
    <row r="2255" spans="15:15" x14ac:dyDescent="0.25">
      <c r="O2255" s="55" t="str">
        <f t="shared" si="39"/>
        <v>01</v>
      </c>
    </row>
    <row r="2256" spans="15:15" x14ac:dyDescent="0.25">
      <c r="O2256" s="55" t="str">
        <f t="shared" si="39"/>
        <v>01</v>
      </c>
    </row>
    <row r="2257" spans="15:15" x14ac:dyDescent="0.25">
      <c r="O2257" s="55" t="str">
        <f t="shared" si="39"/>
        <v>01</v>
      </c>
    </row>
    <row r="2258" spans="15:15" x14ac:dyDescent="0.25">
      <c r="O2258" s="55" t="str">
        <f t="shared" si="39"/>
        <v>01</v>
      </c>
    </row>
    <row r="2259" spans="15:15" x14ac:dyDescent="0.25">
      <c r="O2259" s="55" t="str">
        <f t="shared" si="39"/>
        <v>01</v>
      </c>
    </row>
    <row r="2260" spans="15:15" x14ac:dyDescent="0.25">
      <c r="O2260" s="55" t="str">
        <f t="shared" si="39"/>
        <v>01</v>
      </c>
    </row>
    <row r="2261" spans="15:15" x14ac:dyDescent="0.25">
      <c r="O2261" s="55" t="str">
        <f t="shared" si="39"/>
        <v>01</v>
      </c>
    </row>
    <row r="2262" spans="15:15" x14ac:dyDescent="0.25">
      <c r="O2262" s="55" t="str">
        <f t="shared" si="39"/>
        <v>01</v>
      </c>
    </row>
    <row r="2263" spans="15:15" x14ac:dyDescent="0.25">
      <c r="O2263" s="55" t="str">
        <f t="shared" si="39"/>
        <v>01</v>
      </c>
    </row>
    <row r="2264" spans="15:15" x14ac:dyDescent="0.25">
      <c r="O2264" s="55" t="str">
        <f t="shared" si="39"/>
        <v>01</v>
      </c>
    </row>
    <row r="2265" spans="15:15" x14ac:dyDescent="0.25">
      <c r="O2265" s="55" t="str">
        <f t="shared" si="39"/>
        <v>01</v>
      </c>
    </row>
    <row r="2266" spans="15:15" x14ac:dyDescent="0.25">
      <c r="O2266" s="55" t="str">
        <f t="shared" ref="O2266:O2329" si="40">+TEXT(H2266,"MM")</f>
        <v>01</v>
      </c>
    </row>
    <row r="2267" spans="15:15" x14ac:dyDescent="0.25">
      <c r="O2267" s="55" t="str">
        <f t="shared" si="40"/>
        <v>01</v>
      </c>
    </row>
    <row r="2268" spans="15:15" x14ac:dyDescent="0.25">
      <c r="O2268" s="55" t="str">
        <f t="shared" si="40"/>
        <v>01</v>
      </c>
    </row>
    <row r="2269" spans="15:15" x14ac:dyDescent="0.25">
      <c r="O2269" s="55" t="str">
        <f t="shared" si="40"/>
        <v>01</v>
      </c>
    </row>
    <row r="2270" spans="15:15" x14ac:dyDescent="0.25">
      <c r="O2270" s="55" t="str">
        <f t="shared" si="40"/>
        <v>01</v>
      </c>
    </row>
    <row r="2271" spans="15:15" x14ac:dyDescent="0.25">
      <c r="O2271" s="55" t="str">
        <f t="shared" si="40"/>
        <v>01</v>
      </c>
    </row>
    <row r="2272" spans="15:15" x14ac:dyDescent="0.25">
      <c r="O2272" s="55" t="str">
        <f t="shared" si="40"/>
        <v>01</v>
      </c>
    </row>
    <row r="2273" spans="15:15" x14ac:dyDescent="0.25">
      <c r="O2273" s="55" t="str">
        <f t="shared" si="40"/>
        <v>01</v>
      </c>
    </row>
    <row r="2274" spans="15:15" x14ac:dyDescent="0.25">
      <c r="O2274" s="55" t="str">
        <f t="shared" si="40"/>
        <v>01</v>
      </c>
    </row>
    <row r="2275" spans="15:15" x14ac:dyDescent="0.25">
      <c r="O2275" s="55" t="str">
        <f t="shared" si="40"/>
        <v>01</v>
      </c>
    </row>
    <row r="2276" spans="15:15" x14ac:dyDescent="0.25">
      <c r="O2276" s="55" t="str">
        <f t="shared" si="40"/>
        <v>01</v>
      </c>
    </row>
    <row r="2277" spans="15:15" x14ac:dyDescent="0.25">
      <c r="O2277" s="55" t="str">
        <f t="shared" si="40"/>
        <v>01</v>
      </c>
    </row>
    <row r="2278" spans="15:15" x14ac:dyDescent="0.25">
      <c r="O2278" s="55" t="str">
        <f t="shared" si="40"/>
        <v>01</v>
      </c>
    </row>
    <row r="2279" spans="15:15" x14ac:dyDescent="0.25">
      <c r="O2279" s="55" t="str">
        <f t="shared" si="40"/>
        <v>01</v>
      </c>
    </row>
    <row r="2280" spans="15:15" x14ac:dyDescent="0.25">
      <c r="O2280" s="55" t="str">
        <f t="shared" si="40"/>
        <v>01</v>
      </c>
    </row>
    <row r="2281" spans="15:15" x14ac:dyDescent="0.25">
      <c r="O2281" s="55" t="str">
        <f t="shared" si="40"/>
        <v>01</v>
      </c>
    </row>
    <row r="2282" spans="15:15" x14ac:dyDescent="0.25">
      <c r="O2282" s="55" t="str">
        <f t="shared" si="40"/>
        <v>01</v>
      </c>
    </row>
    <row r="2283" spans="15:15" x14ac:dyDescent="0.25">
      <c r="O2283" s="55" t="str">
        <f t="shared" si="40"/>
        <v>01</v>
      </c>
    </row>
    <row r="2284" spans="15:15" x14ac:dyDescent="0.25">
      <c r="O2284" s="55" t="str">
        <f t="shared" si="40"/>
        <v>01</v>
      </c>
    </row>
    <row r="2285" spans="15:15" x14ac:dyDescent="0.25">
      <c r="O2285" s="55" t="str">
        <f t="shared" si="40"/>
        <v>01</v>
      </c>
    </row>
    <row r="2286" spans="15:15" x14ac:dyDescent="0.25">
      <c r="O2286" s="55" t="str">
        <f t="shared" si="40"/>
        <v>01</v>
      </c>
    </row>
    <row r="2287" spans="15:15" x14ac:dyDescent="0.25">
      <c r="O2287" s="55" t="str">
        <f t="shared" si="40"/>
        <v>01</v>
      </c>
    </row>
    <row r="2288" spans="15:15" x14ac:dyDescent="0.25">
      <c r="O2288" s="55" t="str">
        <f t="shared" si="40"/>
        <v>01</v>
      </c>
    </row>
    <row r="2289" spans="15:15" x14ac:dyDescent="0.25">
      <c r="O2289" s="55" t="str">
        <f t="shared" si="40"/>
        <v>01</v>
      </c>
    </row>
    <row r="2290" spans="15:15" x14ac:dyDescent="0.25">
      <c r="O2290" s="55" t="str">
        <f t="shared" si="40"/>
        <v>01</v>
      </c>
    </row>
    <row r="2291" spans="15:15" x14ac:dyDescent="0.25">
      <c r="O2291" s="55" t="str">
        <f t="shared" si="40"/>
        <v>01</v>
      </c>
    </row>
    <row r="2292" spans="15:15" x14ac:dyDescent="0.25">
      <c r="O2292" s="55" t="str">
        <f t="shared" si="40"/>
        <v>01</v>
      </c>
    </row>
    <row r="2293" spans="15:15" x14ac:dyDescent="0.25">
      <c r="O2293" s="55" t="str">
        <f t="shared" si="40"/>
        <v>01</v>
      </c>
    </row>
    <row r="2294" spans="15:15" x14ac:dyDescent="0.25">
      <c r="O2294" s="55" t="str">
        <f t="shared" si="40"/>
        <v>01</v>
      </c>
    </row>
    <row r="2295" spans="15:15" x14ac:dyDescent="0.25">
      <c r="O2295" s="55" t="str">
        <f t="shared" si="40"/>
        <v>01</v>
      </c>
    </row>
    <row r="2296" spans="15:15" x14ac:dyDescent="0.25">
      <c r="O2296" s="55" t="str">
        <f t="shared" si="40"/>
        <v>01</v>
      </c>
    </row>
    <row r="2297" spans="15:15" x14ac:dyDescent="0.25">
      <c r="O2297" s="55" t="str">
        <f t="shared" si="40"/>
        <v>01</v>
      </c>
    </row>
    <row r="2298" spans="15:15" x14ac:dyDescent="0.25">
      <c r="O2298" s="55" t="str">
        <f t="shared" si="40"/>
        <v>01</v>
      </c>
    </row>
    <row r="2299" spans="15:15" x14ac:dyDescent="0.25">
      <c r="O2299" s="55" t="str">
        <f t="shared" si="40"/>
        <v>01</v>
      </c>
    </row>
    <row r="2300" spans="15:15" x14ac:dyDescent="0.25">
      <c r="O2300" s="55" t="str">
        <f t="shared" si="40"/>
        <v>01</v>
      </c>
    </row>
    <row r="2301" spans="15:15" x14ac:dyDescent="0.25">
      <c r="O2301" s="55" t="str">
        <f t="shared" si="40"/>
        <v>01</v>
      </c>
    </row>
    <row r="2302" spans="15:15" x14ac:dyDescent="0.25">
      <c r="O2302" s="55" t="str">
        <f t="shared" si="40"/>
        <v>01</v>
      </c>
    </row>
    <row r="2303" spans="15:15" x14ac:dyDescent="0.25">
      <c r="O2303" s="55" t="str">
        <f t="shared" si="40"/>
        <v>01</v>
      </c>
    </row>
    <row r="2304" spans="15:15" x14ac:dyDescent="0.25">
      <c r="O2304" s="55" t="str">
        <f t="shared" si="40"/>
        <v>01</v>
      </c>
    </row>
    <row r="2305" spans="15:15" x14ac:dyDescent="0.25">
      <c r="O2305" s="55" t="str">
        <f t="shared" si="40"/>
        <v>01</v>
      </c>
    </row>
    <row r="2306" spans="15:15" x14ac:dyDescent="0.25">
      <c r="O2306" s="55" t="str">
        <f t="shared" si="40"/>
        <v>01</v>
      </c>
    </row>
    <row r="2307" spans="15:15" x14ac:dyDescent="0.25">
      <c r="O2307" s="55" t="str">
        <f t="shared" si="40"/>
        <v>01</v>
      </c>
    </row>
    <row r="2308" spans="15:15" x14ac:dyDescent="0.25">
      <c r="O2308" s="55" t="str">
        <f t="shared" si="40"/>
        <v>01</v>
      </c>
    </row>
    <row r="2309" spans="15:15" x14ac:dyDescent="0.25">
      <c r="O2309" s="55" t="str">
        <f t="shared" si="40"/>
        <v>01</v>
      </c>
    </row>
    <row r="2310" spans="15:15" x14ac:dyDescent="0.25">
      <c r="O2310" s="55" t="str">
        <f t="shared" si="40"/>
        <v>01</v>
      </c>
    </row>
    <row r="2311" spans="15:15" x14ac:dyDescent="0.25">
      <c r="O2311" s="55" t="str">
        <f t="shared" si="40"/>
        <v>01</v>
      </c>
    </row>
    <row r="2312" spans="15:15" x14ac:dyDescent="0.25">
      <c r="O2312" s="55" t="str">
        <f t="shared" si="40"/>
        <v>01</v>
      </c>
    </row>
    <row r="2313" spans="15:15" x14ac:dyDescent="0.25">
      <c r="O2313" s="55" t="str">
        <f t="shared" si="40"/>
        <v>01</v>
      </c>
    </row>
    <row r="2314" spans="15:15" x14ac:dyDescent="0.25">
      <c r="O2314" s="55" t="str">
        <f t="shared" si="40"/>
        <v>01</v>
      </c>
    </row>
    <row r="2315" spans="15:15" x14ac:dyDescent="0.25">
      <c r="O2315" s="55" t="str">
        <f t="shared" si="40"/>
        <v>01</v>
      </c>
    </row>
    <row r="2316" spans="15:15" x14ac:dyDescent="0.25">
      <c r="O2316" s="55" t="str">
        <f t="shared" si="40"/>
        <v>01</v>
      </c>
    </row>
    <row r="2317" spans="15:15" x14ac:dyDescent="0.25">
      <c r="O2317" s="55" t="str">
        <f t="shared" si="40"/>
        <v>01</v>
      </c>
    </row>
    <row r="2318" spans="15:15" x14ac:dyDescent="0.25">
      <c r="O2318" s="55" t="str">
        <f t="shared" si="40"/>
        <v>01</v>
      </c>
    </row>
    <row r="2319" spans="15:15" x14ac:dyDescent="0.25">
      <c r="O2319" s="55" t="str">
        <f t="shared" si="40"/>
        <v>01</v>
      </c>
    </row>
    <row r="2320" spans="15:15" x14ac:dyDescent="0.25">
      <c r="O2320" s="55" t="str">
        <f t="shared" si="40"/>
        <v>01</v>
      </c>
    </row>
    <row r="2321" spans="15:15" x14ac:dyDescent="0.25">
      <c r="O2321" s="55" t="str">
        <f t="shared" si="40"/>
        <v>01</v>
      </c>
    </row>
    <row r="2322" spans="15:15" x14ac:dyDescent="0.25">
      <c r="O2322" s="55" t="str">
        <f t="shared" si="40"/>
        <v>01</v>
      </c>
    </row>
    <row r="2323" spans="15:15" x14ac:dyDescent="0.25">
      <c r="O2323" s="55" t="str">
        <f t="shared" si="40"/>
        <v>01</v>
      </c>
    </row>
    <row r="2324" spans="15:15" x14ac:dyDescent="0.25">
      <c r="O2324" s="55" t="str">
        <f t="shared" si="40"/>
        <v>01</v>
      </c>
    </row>
    <row r="2325" spans="15:15" x14ac:dyDescent="0.25">
      <c r="O2325" s="55" t="str">
        <f t="shared" si="40"/>
        <v>01</v>
      </c>
    </row>
    <row r="2326" spans="15:15" x14ac:dyDescent="0.25">
      <c r="O2326" s="55" t="str">
        <f t="shared" si="40"/>
        <v>01</v>
      </c>
    </row>
    <row r="2327" spans="15:15" x14ac:dyDescent="0.25">
      <c r="O2327" s="55" t="str">
        <f t="shared" si="40"/>
        <v>01</v>
      </c>
    </row>
    <row r="2328" spans="15:15" x14ac:dyDescent="0.25">
      <c r="O2328" s="55" t="str">
        <f t="shared" si="40"/>
        <v>01</v>
      </c>
    </row>
    <row r="2329" spans="15:15" x14ac:dyDescent="0.25">
      <c r="O2329" s="55" t="str">
        <f t="shared" si="40"/>
        <v>01</v>
      </c>
    </row>
    <row r="2330" spans="15:15" x14ac:dyDescent="0.25">
      <c r="O2330" s="55" t="str">
        <f t="shared" ref="O2330:O2393" si="41">+TEXT(H2330,"MM")</f>
        <v>01</v>
      </c>
    </row>
    <row r="2331" spans="15:15" x14ac:dyDescent="0.25">
      <c r="O2331" s="55" t="str">
        <f t="shared" si="41"/>
        <v>01</v>
      </c>
    </row>
    <row r="2332" spans="15:15" x14ac:dyDescent="0.25">
      <c r="O2332" s="55" t="str">
        <f t="shared" si="41"/>
        <v>01</v>
      </c>
    </row>
    <row r="2333" spans="15:15" x14ac:dyDescent="0.25">
      <c r="O2333" s="55" t="str">
        <f t="shared" si="41"/>
        <v>01</v>
      </c>
    </row>
    <row r="2334" spans="15:15" x14ac:dyDescent="0.25">
      <c r="O2334" s="55" t="str">
        <f t="shared" si="41"/>
        <v>01</v>
      </c>
    </row>
    <row r="2335" spans="15:15" x14ac:dyDescent="0.25">
      <c r="O2335" s="55" t="str">
        <f t="shared" si="41"/>
        <v>01</v>
      </c>
    </row>
    <row r="2336" spans="15:15" x14ac:dyDescent="0.25">
      <c r="O2336" s="55" t="str">
        <f t="shared" si="41"/>
        <v>01</v>
      </c>
    </row>
    <row r="2337" spans="15:15" x14ac:dyDescent="0.25">
      <c r="O2337" s="55" t="str">
        <f t="shared" si="41"/>
        <v>01</v>
      </c>
    </row>
    <row r="2338" spans="15:15" x14ac:dyDescent="0.25">
      <c r="O2338" s="55" t="str">
        <f t="shared" si="41"/>
        <v>01</v>
      </c>
    </row>
    <row r="2339" spans="15:15" x14ac:dyDescent="0.25">
      <c r="O2339" s="55" t="str">
        <f t="shared" si="41"/>
        <v>01</v>
      </c>
    </row>
    <row r="2340" spans="15:15" x14ac:dyDescent="0.25">
      <c r="O2340" s="55" t="str">
        <f t="shared" si="41"/>
        <v>01</v>
      </c>
    </row>
    <row r="2341" spans="15:15" x14ac:dyDescent="0.25">
      <c r="O2341" s="55" t="str">
        <f t="shared" si="41"/>
        <v>01</v>
      </c>
    </row>
    <row r="2342" spans="15:15" x14ac:dyDescent="0.25">
      <c r="O2342" s="55" t="str">
        <f t="shared" si="41"/>
        <v>01</v>
      </c>
    </row>
    <row r="2343" spans="15:15" x14ac:dyDescent="0.25">
      <c r="O2343" s="55" t="str">
        <f t="shared" si="41"/>
        <v>01</v>
      </c>
    </row>
    <row r="2344" spans="15:15" x14ac:dyDescent="0.25">
      <c r="O2344" s="55" t="str">
        <f t="shared" si="41"/>
        <v>01</v>
      </c>
    </row>
    <row r="2345" spans="15:15" x14ac:dyDescent="0.25">
      <c r="O2345" s="55" t="str">
        <f t="shared" si="41"/>
        <v>01</v>
      </c>
    </row>
    <row r="2346" spans="15:15" x14ac:dyDescent="0.25">
      <c r="O2346" s="55" t="str">
        <f t="shared" si="41"/>
        <v>01</v>
      </c>
    </row>
    <row r="2347" spans="15:15" x14ac:dyDescent="0.25">
      <c r="O2347" s="55" t="str">
        <f t="shared" si="41"/>
        <v>01</v>
      </c>
    </row>
    <row r="2348" spans="15:15" x14ac:dyDescent="0.25">
      <c r="O2348" s="55" t="str">
        <f t="shared" si="41"/>
        <v>01</v>
      </c>
    </row>
    <row r="2349" spans="15:15" x14ac:dyDescent="0.25">
      <c r="O2349" s="55" t="str">
        <f t="shared" si="41"/>
        <v>01</v>
      </c>
    </row>
    <row r="2350" spans="15:15" x14ac:dyDescent="0.25">
      <c r="O2350" s="55" t="str">
        <f t="shared" si="41"/>
        <v>01</v>
      </c>
    </row>
    <row r="2351" spans="15:15" x14ac:dyDescent="0.25">
      <c r="O2351" s="55" t="str">
        <f t="shared" si="41"/>
        <v>01</v>
      </c>
    </row>
    <row r="2352" spans="15:15" x14ac:dyDescent="0.25">
      <c r="O2352" s="55" t="str">
        <f t="shared" si="41"/>
        <v>01</v>
      </c>
    </row>
    <row r="2353" spans="15:15" x14ac:dyDescent="0.25">
      <c r="O2353" s="55" t="str">
        <f t="shared" si="41"/>
        <v>01</v>
      </c>
    </row>
    <row r="2354" spans="15:15" x14ac:dyDescent="0.25">
      <c r="O2354" s="55" t="str">
        <f t="shared" si="41"/>
        <v>01</v>
      </c>
    </row>
    <row r="2355" spans="15:15" x14ac:dyDescent="0.25">
      <c r="O2355" s="55" t="str">
        <f t="shared" si="41"/>
        <v>01</v>
      </c>
    </row>
    <row r="2356" spans="15:15" x14ac:dyDescent="0.25">
      <c r="O2356" s="55" t="str">
        <f t="shared" si="41"/>
        <v>01</v>
      </c>
    </row>
    <row r="2357" spans="15:15" x14ac:dyDescent="0.25">
      <c r="O2357" s="55" t="str">
        <f t="shared" si="41"/>
        <v>01</v>
      </c>
    </row>
    <row r="2358" spans="15:15" x14ac:dyDescent="0.25">
      <c r="O2358" s="55" t="str">
        <f t="shared" si="41"/>
        <v>01</v>
      </c>
    </row>
    <row r="2359" spans="15:15" x14ac:dyDescent="0.25">
      <c r="O2359" s="55" t="str">
        <f t="shared" si="41"/>
        <v>01</v>
      </c>
    </row>
    <row r="2360" spans="15:15" x14ac:dyDescent="0.25">
      <c r="O2360" s="55" t="str">
        <f t="shared" si="41"/>
        <v>01</v>
      </c>
    </row>
    <row r="2361" spans="15:15" x14ac:dyDescent="0.25">
      <c r="O2361" s="55" t="str">
        <f t="shared" si="41"/>
        <v>01</v>
      </c>
    </row>
    <row r="2362" spans="15:15" x14ac:dyDescent="0.25">
      <c r="O2362" s="55" t="str">
        <f t="shared" si="41"/>
        <v>01</v>
      </c>
    </row>
    <row r="2363" spans="15:15" x14ac:dyDescent="0.25">
      <c r="O2363" s="55" t="str">
        <f t="shared" si="41"/>
        <v>01</v>
      </c>
    </row>
    <row r="2364" spans="15:15" x14ac:dyDescent="0.25">
      <c r="O2364" s="55" t="str">
        <f t="shared" si="41"/>
        <v>01</v>
      </c>
    </row>
    <row r="2365" spans="15:15" x14ac:dyDescent="0.25">
      <c r="O2365" s="55" t="str">
        <f t="shared" si="41"/>
        <v>01</v>
      </c>
    </row>
    <row r="2366" spans="15:15" x14ac:dyDescent="0.25">
      <c r="O2366" s="55" t="str">
        <f t="shared" si="41"/>
        <v>01</v>
      </c>
    </row>
    <row r="2367" spans="15:15" x14ac:dyDescent="0.25">
      <c r="O2367" s="55" t="str">
        <f t="shared" si="41"/>
        <v>01</v>
      </c>
    </row>
    <row r="2368" spans="15:15" x14ac:dyDescent="0.25">
      <c r="O2368" s="55" t="str">
        <f t="shared" si="41"/>
        <v>01</v>
      </c>
    </row>
    <row r="2369" spans="15:15" x14ac:dyDescent="0.25">
      <c r="O2369" s="55" t="str">
        <f t="shared" si="41"/>
        <v>01</v>
      </c>
    </row>
    <row r="2370" spans="15:15" x14ac:dyDescent="0.25">
      <c r="O2370" s="55" t="str">
        <f t="shared" si="41"/>
        <v>01</v>
      </c>
    </row>
    <row r="2371" spans="15:15" x14ac:dyDescent="0.25">
      <c r="O2371" s="55" t="str">
        <f t="shared" si="41"/>
        <v>01</v>
      </c>
    </row>
    <row r="2372" spans="15:15" x14ac:dyDescent="0.25">
      <c r="O2372" s="55" t="str">
        <f t="shared" si="41"/>
        <v>01</v>
      </c>
    </row>
    <row r="2373" spans="15:15" x14ac:dyDescent="0.25">
      <c r="O2373" s="55" t="str">
        <f t="shared" si="41"/>
        <v>01</v>
      </c>
    </row>
    <row r="2374" spans="15:15" x14ac:dyDescent="0.25">
      <c r="O2374" s="55" t="str">
        <f t="shared" si="41"/>
        <v>01</v>
      </c>
    </row>
    <row r="2375" spans="15:15" x14ac:dyDescent="0.25">
      <c r="O2375" s="55" t="str">
        <f t="shared" si="41"/>
        <v>01</v>
      </c>
    </row>
    <row r="2376" spans="15:15" x14ac:dyDescent="0.25">
      <c r="O2376" s="55" t="str">
        <f t="shared" si="41"/>
        <v>01</v>
      </c>
    </row>
    <row r="2377" spans="15:15" x14ac:dyDescent="0.25">
      <c r="O2377" s="55" t="str">
        <f t="shared" si="41"/>
        <v>01</v>
      </c>
    </row>
    <row r="2378" spans="15:15" x14ac:dyDescent="0.25">
      <c r="O2378" s="55" t="str">
        <f t="shared" si="41"/>
        <v>01</v>
      </c>
    </row>
    <row r="2379" spans="15:15" x14ac:dyDescent="0.25">
      <c r="O2379" s="55" t="str">
        <f t="shared" si="41"/>
        <v>01</v>
      </c>
    </row>
    <row r="2380" spans="15:15" x14ac:dyDescent="0.25">
      <c r="O2380" s="55" t="str">
        <f t="shared" si="41"/>
        <v>01</v>
      </c>
    </row>
    <row r="2381" spans="15:15" x14ac:dyDescent="0.25">
      <c r="O2381" s="55" t="str">
        <f t="shared" si="41"/>
        <v>01</v>
      </c>
    </row>
    <row r="2382" spans="15:15" x14ac:dyDescent="0.25">
      <c r="O2382" s="55" t="str">
        <f t="shared" si="41"/>
        <v>01</v>
      </c>
    </row>
    <row r="2383" spans="15:15" x14ac:dyDescent="0.25">
      <c r="O2383" s="55" t="str">
        <f t="shared" si="41"/>
        <v>01</v>
      </c>
    </row>
    <row r="2384" spans="15:15" x14ac:dyDescent="0.25">
      <c r="O2384" s="55" t="str">
        <f t="shared" si="41"/>
        <v>01</v>
      </c>
    </row>
    <row r="2385" spans="15:15" x14ac:dyDescent="0.25">
      <c r="O2385" s="55" t="str">
        <f t="shared" si="41"/>
        <v>01</v>
      </c>
    </row>
    <row r="2386" spans="15:15" x14ac:dyDescent="0.25">
      <c r="O2386" s="55" t="str">
        <f t="shared" si="41"/>
        <v>01</v>
      </c>
    </row>
    <row r="2387" spans="15:15" x14ac:dyDescent="0.25">
      <c r="O2387" s="55" t="str">
        <f t="shared" si="41"/>
        <v>01</v>
      </c>
    </row>
    <row r="2388" spans="15:15" x14ac:dyDescent="0.25">
      <c r="O2388" s="55" t="str">
        <f t="shared" si="41"/>
        <v>01</v>
      </c>
    </row>
    <row r="2389" spans="15:15" x14ac:dyDescent="0.25">
      <c r="O2389" s="55" t="str">
        <f t="shared" si="41"/>
        <v>01</v>
      </c>
    </row>
    <row r="2390" spans="15:15" x14ac:dyDescent="0.25">
      <c r="O2390" s="55" t="str">
        <f t="shared" si="41"/>
        <v>01</v>
      </c>
    </row>
    <row r="2391" spans="15:15" x14ac:dyDescent="0.25">
      <c r="O2391" s="55" t="str">
        <f t="shared" si="41"/>
        <v>01</v>
      </c>
    </row>
    <row r="2392" spans="15:15" x14ac:dyDescent="0.25">
      <c r="O2392" s="55" t="str">
        <f t="shared" si="41"/>
        <v>01</v>
      </c>
    </row>
    <row r="2393" spans="15:15" x14ac:dyDescent="0.25">
      <c r="O2393" s="55" t="str">
        <f t="shared" si="41"/>
        <v>01</v>
      </c>
    </row>
    <row r="2394" spans="15:15" x14ac:dyDescent="0.25">
      <c r="O2394" s="55" t="str">
        <f t="shared" ref="O2394:O2457" si="42">+TEXT(H2394,"MM")</f>
        <v>01</v>
      </c>
    </row>
    <row r="2395" spans="15:15" x14ac:dyDescent="0.25">
      <c r="O2395" s="55" t="str">
        <f t="shared" si="42"/>
        <v>01</v>
      </c>
    </row>
    <row r="2396" spans="15:15" x14ac:dyDescent="0.25">
      <c r="O2396" s="55" t="str">
        <f t="shared" si="42"/>
        <v>01</v>
      </c>
    </row>
    <row r="2397" spans="15:15" x14ac:dyDescent="0.25">
      <c r="O2397" s="55" t="str">
        <f t="shared" si="42"/>
        <v>01</v>
      </c>
    </row>
    <row r="2398" spans="15:15" x14ac:dyDescent="0.25">
      <c r="O2398" s="55" t="str">
        <f t="shared" si="42"/>
        <v>01</v>
      </c>
    </row>
    <row r="2399" spans="15:15" x14ac:dyDescent="0.25">
      <c r="O2399" s="55" t="str">
        <f t="shared" si="42"/>
        <v>01</v>
      </c>
    </row>
    <row r="2400" spans="15:15" x14ac:dyDescent="0.25">
      <c r="O2400" s="55" t="str">
        <f t="shared" si="42"/>
        <v>01</v>
      </c>
    </row>
    <row r="2401" spans="15:15" x14ac:dyDescent="0.25">
      <c r="O2401" s="55" t="str">
        <f t="shared" si="42"/>
        <v>01</v>
      </c>
    </row>
    <row r="2402" spans="15:15" x14ac:dyDescent="0.25">
      <c r="O2402" s="55" t="str">
        <f t="shared" si="42"/>
        <v>01</v>
      </c>
    </row>
    <row r="2403" spans="15:15" x14ac:dyDescent="0.25">
      <c r="O2403" s="55" t="str">
        <f t="shared" si="42"/>
        <v>01</v>
      </c>
    </row>
    <row r="2404" spans="15:15" x14ac:dyDescent="0.25">
      <c r="O2404" s="55" t="str">
        <f t="shared" si="42"/>
        <v>01</v>
      </c>
    </row>
    <row r="2405" spans="15:15" x14ac:dyDescent="0.25">
      <c r="O2405" s="55" t="str">
        <f t="shared" si="42"/>
        <v>01</v>
      </c>
    </row>
    <row r="2406" spans="15:15" x14ac:dyDescent="0.25">
      <c r="O2406" s="55" t="str">
        <f t="shared" si="42"/>
        <v>01</v>
      </c>
    </row>
    <row r="2407" spans="15:15" x14ac:dyDescent="0.25">
      <c r="O2407" s="55" t="str">
        <f t="shared" si="42"/>
        <v>01</v>
      </c>
    </row>
    <row r="2408" spans="15:15" x14ac:dyDescent="0.25">
      <c r="O2408" s="55" t="str">
        <f t="shared" si="42"/>
        <v>01</v>
      </c>
    </row>
    <row r="2409" spans="15:15" x14ac:dyDescent="0.25">
      <c r="O2409" s="55" t="str">
        <f t="shared" si="42"/>
        <v>01</v>
      </c>
    </row>
    <row r="2410" spans="15:15" x14ac:dyDescent="0.25">
      <c r="O2410" s="55" t="str">
        <f t="shared" si="42"/>
        <v>01</v>
      </c>
    </row>
    <row r="2411" spans="15:15" x14ac:dyDescent="0.25">
      <c r="O2411" s="55" t="str">
        <f t="shared" si="42"/>
        <v>01</v>
      </c>
    </row>
    <row r="2412" spans="15:15" x14ac:dyDescent="0.25">
      <c r="O2412" s="55" t="str">
        <f t="shared" si="42"/>
        <v>01</v>
      </c>
    </row>
    <row r="2413" spans="15:15" x14ac:dyDescent="0.25">
      <c r="O2413" s="55" t="str">
        <f t="shared" si="42"/>
        <v>01</v>
      </c>
    </row>
    <row r="2414" spans="15:15" x14ac:dyDescent="0.25">
      <c r="O2414" s="55" t="str">
        <f t="shared" si="42"/>
        <v>01</v>
      </c>
    </row>
    <row r="2415" spans="15:15" x14ac:dyDescent="0.25">
      <c r="O2415" s="55" t="str">
        <f t="shared" si="42"/>
        <v>01</v>
      </c>
    </row>
    <row r="2416" spans="15:15" x14ac:dyDescent="0.25">
      <c r="O2416" s="55" t="str">
        <f t="shared" si="42"/>
        <v>01</v>
      </c>
    </row>
    <row r="2417" spans="15:15" x14ac:dyDescent="0.25">
      <c r="O2417" s="55" t="str">
        <f t="shared" si="42"/>
        <v>01</v>
      </c>
    </row>
    <row r="2418" spans="15:15" x14ac:dyDescent="0.25">
      <c r="O2418" s="55" t="str">
        <f t="shared" si="42"/>
        <v>01</v>
      </c>
    </row>
    <row r="2419" spans="15:15" x14ac:dyDescent="0.25">
      <c r="O2419" s="55" t="str">
        <f t="shared" si="42"/>
        <v>01</v>
      </c>
    </row>
    <row r="2420" spans="15:15" x14ac:dyDescent="0.25">
      <c r="O2420" s="55" t="str">
        <f t="shared" si="42"/>
        <v>01</v>
      </c>
    </row>
    <row r="2421" spans="15:15" x14ac:dyDescent="0.25">
      <c r="O2421" s="55" t="str">
        <f t="shared" si="42"/>
        <v>01</v>
      </c>
    </row>
    <row r="2422" spans="15:15" x14ac:dyDescent="0.25">
      <c r="O2422" s="55" t="str">
        <f t="shared" si="42"/>
        <v>01</v>
      </c>
    </row>
    <row r="2423" spans="15:15" x14ac:dyDescent="0.25">
      <c r="O2423" s="55" t="str">
        <f t="shared" si="42"/>
        <v>01</v>
      </c>
    </row>
    <row r="2424" spans="15:15" x14ac:dyDescent="0.25">
      <c r="O2424" s="55" t="str">
        <f t="shared" si="42"/>
        <v>01</v>
      </c>
    </row>
    <row r="2425" spans="15:15" x14ac:dyDescent="0.25">
      <c r="O2425" s="55" t="str">
        <f t="shared" si="42"/>
        <v>01</v>
      </c>
    </row>
    <row r="2426" spans="15:15" x14ac:dyDescent="0.25">
      <c r="O2426" s="55" t="str">
        <f t="shared" si="42"/>
        <v>01</v>
      </c>
    </row>
    <row r="2427" spans="15:15" x14ac:dyDescent="0.25">
      <c r="O2427" s="55" t="str">
        <f t="shared" si="42"/>
        <v>01</v>
      </c>
    </row>
    <row r="2428" spans="15:15" x14ac:dyDescent="0.25">
      <c r="O2428" s="55" t="str">
        <f t="shared" si="42"/>
        <v>01</v>
      </c>
    </row>
    <row r="2429" spans="15:15" x14ac:dyDescent="0.25">
      <c r="O2429" s="55" t="str">
        <f t="shared" si="42"/>
        <v>01</v>
      </c>
    </row>
    <row r="2430" spans="15:15" x14ac:dyDescent="0.25">
      <c r="O2430" s="55" t="str">
        <f t="shared" si="42"/>
        <v>01</v>
      </c>
    </row>
    <row r="2431" spans="15:15" x14ac:dyDescent="0.25">
      <c r="O2431" s="55" t="str">
        <f t="shared" si="42"/>
        <v>01</v>
      </c>
    </row>
    <row r="2432" spans="15:15" x14ac:dyDescent="0.25">
      <c r="O2432" s="55" t="str">
        <f t="shared" si="42"/>
        <v>01</v>
      </c>
    </row>
    <row r="2433" spans="15:15" x14ac:dyDescent="0.25">
      <c r="O2433" s="55" t="str">
        <f t="shared" si="42"/>
        <v>01</v>
      </c>
    </row>
    <row r="2434" spans="15:15" x14ac:dyDescent="0.25">
      <c r="O2434" s="55" t="str">
        <f t="shared" si="42"/>
        <v>01</v>
      </c>
    </row>
    <row r="2435" spans="15:15" x14ac:dyDescent="0.25">
      <c r="O2435" s="55" t="str">
        <f t="shared" si="42"/>
        <v>01</v>
      </c>
    </row>
    <row r="2436" spans="15:15" x14ac:dyDescent="0.25">
      <c r="O2436" s="55" t="str">
        <f t="shared" si="42"/>
        <v>01</v>
      </c>
    </row>
    <row r="2437" spans="15:15" x14ac:dyDescent="0.25">
      <c r="O2437" s="55" t="str">
        <f t="shared" si="42"/>
        <v>01</v>
      </c>
    </row>
    <row r="2438" spans="15:15" x14ac:dyDescent="0.25">
      <c r="O2438" s="55" t="str">
        <f t="shared" si="42"/>
        <v>01</v>
      </c>
    </row>
    <row r="2439" spans="15:15" x14ac:dyDescent="0.25">
      <c r="O2439" s="55" t="str">
        <f t="shared" si="42"/>
        <v>01</v>
      </c>
    </row>
    <row r="2440" spans="15:15" x14ac:dyDescent="0.25">
      <c r="O2440" s="55" t="str">
        <f t="shared" si="42"/>
        <v>01</v>
      </c>
    </row>
    <row r="2441" spans="15:15" x14ac:dyDescent="0.25">
      <c r="O2441" s="55" t="str">
        <f t="shared" si="42"/>
        <v>01</v>
      </c>
    </row>
    <row r="2442" spans="15:15" x14ac:dyDescent="0.25">
      <c r="O2442" s="55" t="str">
        <f t="shared" si="42"/>
        <v>01</v>
      </c>
    </row>
    <row r="2443" spans="15:15" x14ac:dyDescent="0.25">
      <c r="O2443" s="55" t="str">
        <f t="shared" si="42"/>
        <v>01</v>
      </c>
    </row>
    <row r="2444" spans="15:15" x14ac:dyDescent="0.25">
      <c r="O2444" s="55" t="str">
        <f t="shared" si="42"/>
        <v>01</v>
      </c>
    </row>
    <row r="2445" spans="15:15" x14ac:dyDescent="0.25">
      <c r="O2445" s="55" t="str">
        <f t="shared" si="42"/>
        <v>01</v>
      </c>
    </row>
    <row r="2446" spans="15:15" x14ac:dyDescent="0.25">
      <c r="O2446" s="55" t="str">
        <f t="shared" si="42"/>
        <v>01</v>
      </c>
    </row>
    <row r="2447" spans="15:15" x14ac:dyDescent="0.25">
      <c r="O2447" s="55" t="str">
        <f t="shared" si="42"/>
        <v>01</v>
      </c>
    </row>
    <row r="2448" spans="15:15" x14ac:dyDescent="0.25">
      <c r="O2448" s="55" t="str">
        <f t="shared" si="42"/>
        <v>01</v>
      </c>
    </row>
    <row r="2449" spans="15:15" x14ac:dyDescent="0.25">
      <c r="O2449" s="55" t="str">
        <f t="shared" si="42"/>
        <v>01</v>
      </c>
    </row>
    <row r="2450" spans="15:15" x14ac:dyDescent="0.25">
      <c r="O2450" s="55" t="str">
        <f t="shared" si="42"/>
        <v>01</v>
      </c>
    </row>
    <row r="2451" spans="15:15" x14ac:dyDescent="0.25">
      <c r="O2451" s="55" t="str">
        <f t="shared" si="42"/>
        <v>01</v>
      </c>
    </row>
    <row r="2452" spans="15:15" x14ac:dyDescent="0.25">
      <c r="O2452" s="55" t="str">
        <f t="shared" si="42"/>
        <v>01</v>
      </c>
    </row>
    <row r="2453" spans="15:15" x14ac:dyDescent="0.25">
      <c r="O2453" s="55" t="str">
        <f t="shared" si="42"/>
        <v>01</v>
      </c>
    </row>
    <row r="2454" spans="15:15" x14ac:dyDescent="0.25">
      <c r="O2454" s="55" t="str">
        <f t="shared" si="42"/>
        <v>01</v>
      </c>
    </row>
    <row r="2455" spans="15:15" x14ac:dyDescent="0.25">
      <c r="O2455" s="55" t="str">
        <f t="shared" si="42"/>
        <v>01</v>
      </c>
    </row>
    <row r="2456" spans="15:15" x14ac:dyDescent="0.25">
      <c r="O2456" s="55" t="str">
        <f t="shared" si="42"/>
        <v>01</v>
      </c>
    </row>
    <row r="2457" spans="15:15" x14ac:dyDescent="0.25">
      <c r="O2457" s="55" t="str">
        <f t="shared" si="42"/>
        <v>01</v>
      </c>
    </row>
    <row r="2458" spans="15:15" x14ac:dyDescent="0.25">
      <c r="O2458" s="55" t="str">
        <f t="shared" ref="O2458:O2521" si="43">+TEXT(H2458,"MM")</f>
        <v>01</v>
      </c>
    </row>
    <row r="2459" spans="15:15" x14ac:dyDescent="0.25">
      <c r="O2459" s="55" t="str">
        <f t="shared" si="43"/>
        <v>01</v>
      </c>
    </row>
    <row r="2460" spans="15:15" x14ac:dyDescent="0.25">
      <c r="O2460" s="55" t="str">
        <f t="shared" si="43"/>
        <v>01</v>
      </c>
    </row>
    <row r="2461" spans="15:15" x14ac:dyDescent="0.25">
      <c r="O2461" s="55" t="str">
        <f t="shared" si="43"/>
        <v>01</v>
      </c>
    </row>
    <row r="2462" spans="15:15" x14ac:dyDescent="0.25">
      <c r="O2462" s="55" t="str">
        <f t="shared" si="43"/>
        <v>01</v>
      </c>
    </row>
    <row r="2463" spans="15:15" x14ac:dyDescent="0.25">
      <c r="O2463" s="55" t="str">
        <f t="shared" si="43"/>
        <v>01</v>
      </c>
    </row>
    <row r="2464" spans="15:15" x14ac:dyDescent="0.25">
      <c r="O2464" s="55" t="str">
        <f t="shared" si="43"/>
        <v>01</v>
      </c>
    </row>
    <row r="2465" spans="15:15" x14ac:dyDescent="0.25">
      <c r="O2465" s="55" t="str">
        <f t="shared" si="43"/>
        <v>01</v>
      </c>
    </row>
    <row r="2466" spans="15:15" x14ac:dyDescent="0.25">
      <c r="O2466" s="55" t="str">
        <f t="shared" si="43"/>
        <v>01</v>
      </c>
    </row>
    <row r="2467" spans="15:15" x14ac:dyDescent="0.25">
      <c r="O2467" s="55" t="str">
        <f t="shared" si="43"/>
        <v>01</v>
      </c>
    </row>
    <row r="2468" spans="15:15" x14ac:dyDescent="0.25">
      <c r="O2468" s="55" t="str">
        <f t="shared" si="43"/>
        <v>01</v>
      </c>
    </row>
    <row r="2469" spans="15:15" x14ac:dyDescent="0.25">
      <c r="O2469" s="55" t="str">
        <f t="shared" si="43"/>
        <v>01</v>
      </c>
    </row>
    <row r="2470" spans="15:15" x14ac:dyDescent="0.25">
      <c r="O2470" s="55" t="str">
        <f t="shared" si="43"/>
        <v>01</v>
      </c>
    </row>
    <row r="2471" spans="15:15" x14ac:dyDescent="0.25">
      <c r="O2471" s="55" t="str">
        <f t="shared" si="43"/>
        <v>01</v>
      </c>
    </row>
    <row r="2472" spans="15:15" x14ac:dyDescent="0.25">
      <c r="O2472" s="55" t="str">
        <f t="shared" si="43"/>
        <v>01</v>
      </c>
    </row>
    <row r="2473" spans="15:15" x14ac:dyDescent="0.25">
      <c r="O2473" s="55" t="str">
        <f t="shared" si="43"/>
        <v>01</v>
      </c>
    </row>
    <row r="2474" spans="15:15" x14ac:dyDescent="0.25">
      <c r="O2474" s="55" t="str">
        <f t="shared" si="43"/>
        <v>01</v>
      </c>
    </row>
    <row r="2475" spans="15:15" x14ac:dyDescent="0.25">
      <c r="O2475" s="55" t="str">
        <f t="shared" si="43"/>
        <v>01</v>
      </c>
    </row>
    <row r="2476" spans="15:15" x14ac:dyDescent="0.25">
      <c r="O2476" s="55" t="str">
        <f t="shared" si="43"/>
        <v>01</v>
      </c>
    </row>
    <row r="2477" spans="15:15" x14ac:dyDescent="0.25">
      <c r="O2477" s="55" t="str">
        <f t="shared" si="43"/>
        <v>01</v>
      </c>
    </row>
    <row r="2478" spans="15:15" x14ac:dyDescent="0.25">
      <c r="O2478" s="55" t="str">
        <f t="shared" si="43"/>
        <v>01</v>
      </c>
    </row>
    <row r="2479" spans="15:15" x14ac:dyDescent="0.25">
      <c r="O2479" s="55" t="str">
        <f t="shared" si="43"/>
        <v>01</v>
      </c>
    </row>
    <row r="2480" spans="15:15" x14ac:dyDescent="0.25">
      <c r="O2480" s="55" t="str">
        <f t="shared" si="43"/>
        <v>01</v>
      </c>
    </row>
    <row r="2481" spans="15:15" x14ac:dyDescent="0.25">
      <c r="O2481" s="55" t="str">
        <f t="shared" si="43"/>
        <v>01</v>
      </c>
    </row>
    <row r="2482" spans="15:15" x14ac:dyDescent="0.25">
      <c r="O2482" s="55" t="str">
        <f t="shared" si="43"/>
        <v>01</v>
      </c>
    </row>
    <row r="2483" spans="15:15" x14ac:dyDescent="0.25">
      <c r="O2483" s="55" t="str">
        <f t="shared" si="43"/>
        <v>01</v>
      </c>
    </row>
    <row r="2484" spans="15:15" x14ac:dyDescent="0.25">
      <c r="O2484" s="55" t="str">
        <f t="shared" si="43"/>
        <v>01</v>
      </c>
    </row>
    <row r="2485" spans="15:15" x14ac:dyDescent="0.25">
      <c r="O2485" s="55" t="str">
        <f t="shared" si="43"/>
        <v>01</v>
      </c>
    </row>
    <row r="2486" spans="15:15" x14ac:dyDescent="0.25">
      <c r="O2486" s="55" t="str">
        <f t="shared" si="43"/>
        <v>01</v>
      </c>
    </row>
    <row r="2487" spans="15:15" x14ac:dyDescent="0.25">
      <c r="O2487" s="55" t="str">
        <f t="shared" si="43"/>
        <v>01</v>
      </c>
    </row>
    <row r="2488" spans="15:15" x14ac:dyDescent="0.25">
      <c r="O2488" s="55" t="str">
        <f t="shared" si="43"/>
        <v>01</v>
      </c>
    </row>
    <row r="2489" spans="15:15" x14ac:dyDescent="0.25">
      <c r="O2489" s="55" t="str">
        <f t="shared" si="43"/>
        <v>01</v>
      </c>
    </row>
    <row r="2490" spans="15:15" x14ac:dyDescent="0.25">
      <c r="O2490" s="55" t="str">
        <f t="shared" si="43"/>
        <v>01</v>
      </c>
    </row>
    <row r="2491" spans="15:15" x14ac:dyDescent="0.25">
      <c r="O2491" s="55" t="str">
        <f t="shared" si="43"/>
        <v>01</v>
      </c>
    </row>
    <row r="2492" spans="15:15" x14ac:dyDescent="0.25">
      <c r="O2492" s="55" t="str">
        <f t="shared" si="43"/>
        <v>01</v>
      </c>
    </row>
    <row r="2493" spans="15:15" x14ac:dyDescent="0.25">
      <c r="O2493" s="55" t="str">
        <f t="shared" si="43"/>
        <v>01</v>
      </c>
    </row>
    <row r="2494" spans="15:15" x14ac:dyDescent="0.25">
      <c r="O2494" s="55" t="str">
        <f t="shared" si="43"/>
        <v>01</v>
      </c>
    </row>
    <row r="2495" spans="15:15" x14ac:dyDescent="0.25">
      <c r="O2495" s="55" t="str">
        <f t="shared" si="43"/>
        <v>01</v>
      </c>
    </row>
    <row r="2496" spans="15:15" x14ac:dyDescent="0.25">
      <c r="O2496" s="55" t="str">
        <f t="shared" si="43"/>
        <v>01</v>
      </c>
    </row>
    <row r="2497" spans="15:15" x14ac:dyDescent="0.25">
      <c r="O2497" s="55" t="str">
        <f t="shared" si="43"/>
        <v>01</v>
      </c>
    </row>
    <row r="2498" spans="15:15" x14ac:dyDescent="0.25">
      <c r="O2498" s="55" t="str">
        <f t="shared" si="43"/>
        <v>01</v>
      </c>
    </row>
    <row r="2499" spans="15:15" x14ac:dyDescent="0.25">
      <c r="O2499" s="55" t="str">
        <f t="shared" si="43"/>
        <v>01</v>
      </c>
    </row>
    <row r="2500" spans="15:15" x14ac:dyDescent="0.25">
      <c r="O2500" s="55" t="str">
        <f t="shared" si="43"/>
        <v>01</v>
      </c>
    </row>
    <row r="2501" spans="15:15" x14ac:dyDescent="0.25">
      <c r="O2501" s="55" t="str">
        <f t="shared" si="43"/>
        <v>01</v>
      </c>
    </row>
    <row r="2502" spans="15:15" x14ac:dyDescent="0.25">
      <c r="O2502" s="55" t="str">
        <f t="shared" si="43"/>
        <v>01</v>
      </c>
    </row>
    <row r="2503" spans="15:15" x14ac:dyDescent="0.25">
      <c r="O2503" s="55" t="str">
        <f t="shared" si="43"/>
        <v>01</v>
      </c>
    </row>
    <row r="2504" spans="15:15" x14ac:dyDescent="0.25">
      <c r="O2504" s="55" t="str">
        <f t="shared" si="43"/>
        <v>01</v>
      </c>
    </row>
    <row r="2505" spans="15:15" x14ac:dyDescent="0.25">
      <c r="O2505" s="55" t="str">
        <f t="shared" si="43"/>
        <v>01</v>
      </c>
    </row>
    <row r="2506" spans="15:15" x14ac:dyDescent="0.25">
      <c r="O2506" s="55" t="str">
        <f t="shared" si="43"/>
        <v>01</v>
      </c>
    </row>
    <row r="2507" spans="15:15" x14ac:dyDescent="0.25">
      <c r="O2507" s="55" t="str">
        <f t="shared" si="43"/>
        <v>01</v>
      </c>
    </row>
    <row r="2508" spans="15:15" x14ac:dyDescent="0.25">
      <c r="O2508" s="55" t="str">
        <f t="shared" si="43"/>
        <v>01</v>
      </c>
    </row>
    <row r="2509" spans="15:15" x14ac:dyDescent="0.25">
      <c r="O2509" s="55" t="str">
        <f t="shared" si="43"/>
        <v>01</v>
      </c>
    </row>
    <row r="2510" spans="15:15" x14ac:dyDescent="0.25">
      <c r="O2510" s="55" t="str">
        <f t="shared" si="43"/>
        <v>01</v>
      </c>
    </row>
    <row r="2511" spans="15:15" x14ac:dyDescent="0.25">
      <c r="O2511" s="55" t="str">
        <f t="shared" si="43"/>
        <v>01</v>
      </c>
    </row>
    <row r="2512" spans="15:15" x14ac:dyDescent="0.25">
      <c r="O2512" s="55" t="str">
        <f t="shared" si="43"/>
        <v>01</v>
      </c>
    </row>
    <row r="2513" spans="15:15" x14ac:dyDescent="0.25">
      <c r="O2513" s="55" t="str">
        <f t="shared" si="43"/>
        <v>01</v>
      </c>
    </row>
    <row r="2514" spans="15:15" x14ac:dyDescent="0.25">
      <c r="O2514" s="55" t="str">
        <f t="shared" si="43"/>
        <v>01</v>
      </c>
    </row>
    <row r="2515" spans="15:15" x14ac:dyDescent="0.25">
      <c r="O2515" s="55" t="str">
        <f t="shared" si="43"/>
        <v>01</v>
      </c>
    </row>
    <row r="2516" spans="15:15" x14ac:dyDescent="0.25">
      <c r="O2516" s="55" t="str">
        <f t="shared" si="43"/>
        <v>01</v>
      </c>
    </row>
    <row r="2517" spans="15:15" x14ac:dyDescent="0.25">
      <c r="O2517" s="55" t="str">
        <f t="shared" si="43"/>
        <v>01</v>
      </c>
    </row>
    <row r="2518" spans="15:15" x14ac:dyDescent="0.25">
      <c r="O2518" s="55" t="str">
        <f t="shared" si="43"/>
        <v>01</v>
      </c>
    </row>
    <row r="2519" spans="15:15" x14ac:dyDescent="0.25">
      <c r="O2519" s="55" t="str">
        <f t="shared" si="43"/>
        <v>01</v>
      </c>
    </row>
    <row r="2520" spans="15:15" x14ac:dyDescent="0.25">
      <c r="O2520" s="55" t="str">
        <f t="shared" si="43"/>
        <v>01</v>
      </c>
    </row>
    <row r="2521" spans="15:15" x14ac:dyDescent="0.25">
      <c r="O2521" s="55" t="str">
        <f t="shared" si="43"/>
        <v>01</v>
      </c>
    </row>
    <row r="2522" spans="15:15" x14ac:dyDescent="0.25">
      <c r="O2522" s="55" t="str">
        <f t="shared" ref="O2522:O2585" si="44">+TEXT(H2522,"MM")</f>
        <v>01</v>
      </c>
    </row>
    <row r="2523" spans="15:15" x14ac:dyDescent="0.25">
      <c r="O2523" s="55" t="str">
        <f t="shared" si="44"/>
        <v>01</v>
      </c>
    </row>
    <row r="2524" spans="15:15" x14ac:dyDescent="0.25">
      <c r="O2524" s="55" t="str">
        <f t="shared" si="44"/>
        <v>01</v>
      </c>
    </row>
    <row r="2525" spans="15:15" x14ac:dyDescent="0.25">
      <c r="O2525" s="55" t="str">
        <f t="shared" si="44"/>
        <v>01</v>
      </c>
    </row>
    <row r="2526" spans="15:15" x14ac:dyDescent="0.25">
      <c r="O2526" s="55" t="str">
        <f t="shared" si="44"/>
        <v>01</v>
      </c>
    </row>
    <row r="2527" spans="15:15" x14ac:dyDescent="0.25">
      <c r="O2527" s="55" t="str">
        <f t="shared" si="44"/>
        <v>01</v>
      </c>
    </row>
    <row r="2528" spans="15:15" x14ac:dyDescent="0.25">
      <c r="O2528" s="55" t="str">
        <f t="shared" si="44"/>
        <v>01</v>
      </c>
    </row>
    <row r="2529" spans="15:15" x14ac:dyDescent="0.25">
      <c r="O2529" s="55" t="str">
        <f t="shared" si="44"/>
        <v>01</v>
      </c>
    </row>
    <row r="2530" spans="15:15" x14ac:dyDescent="0.25">
      <c r="O2530" s="55" t="str">
        <f t="shared" si="44"/>
        <v>01</v>
      </c>
    </row>
    <row r="2531" spans="15:15" x14ac:dyDescent="0.25">
      <c r="O2531" s="55" t="str">
        <f t="shared" si="44"/>
        <v>01</v>
      </c>
    </row>
    <row r="2532" spans="15:15" x14ac:dyDescent="0.25">
      <c r="O2532" s="55" t="str">
        <f t="shared" si="44"/>
        <v>01</v>
      </c>
    </row>
    <row r="2533" spans="15:15" x14ac:dyDescent="0.25">
      <c r="O2533" s="55" t="str">
        <f t="shared" si="44"/>
        <v>01</v>
      </c>
    </row>
    <row r="2534" spans="15:15" x14ac:dyDescent="0.25">
      <c r="O2534" s="55" t="str">
        <f t="shared" si="44"/>
        <v>01</v>
      </c>
    </row>
    <row r="2535" spans="15:15" x14ac:dyDescent="0.25">
      <c r="O2535" s="55" t="str">
        <f t="shared" si="44"/>
        <v>01</v>
      </c>
    </row>
    <row r="2536" spans="15:15" x14ac:dyDescent="0.25">
      <c r="O2536" s="55" t="str">
        <f t="shared" si="44"/>
        <v>01</v>
      </c>
    </row>
    <row r="2537" spans="15:15" x14ac:dyDescent="0.25">
      <c r="O2537" s="55" t="str">
        <f t="shared" si="44"/>
        <v>01</v>
      </c>
    </row>
    <row r="2538" spans="15:15" x14ac:dyDescent="0.25">
      <c r="O2538" s="55" t="str">
        <f t="shared" si="44"/>
        <v>01</v>
      </c>
    </row>
    <row r="2539" spans="15:15" x14ac:dyDescent="0.25">
      <c r="O2539" s="55" t="str">
        <f t="shared" si="44"/>
        <v>01</v>
      </c>
    </row>
    <row r="2540" spans="15:15" x14ac:dyDescent="0.25">
      <c r="O2540" s="55" t="str">
        <f t="shared" si="44"/>
        <v>01</v>
      </c>
    </row>
    <row r="2541" spans="15:15" x14ac:dyDescent="0.25">
      <c r="O2541" s="55" t="str">
        <f t="shared" si="44"/>
        <v>01</v>
      </c>
    </row>
    <row r="2542" spans="15:15" x14ac:dyDescent="0.25">
      <c r="O2542" s="55" t="str">
        <f t="shared" si="44"/>
        <v>01</v>
      </c>
    </row>
    <row r="2543" spans="15:15" x14ac:dyDescent="0.25">
      <c r="O2543" s="55" t="str">
        <f t="shared" si="44"/>
        <v>01</v>
      </c>
    </row>
    <row r="2544" spans="15:15" x14ac:dyDescent="0.25">
      <c r="O2544" s="55" t="str">
        <f t="shared" si="44"/>
        <v>01</v>
      </c>
    </row>
    <row r="2545" spans="15:15" x14ac:dyDescent="0.25">
      <c r="O2545" s="55" t="str">
        <f t="shared" si="44"/>
        <v>01</v>
      </c>
    </row>
    <row r="2546" spans="15:15" x14ac:dyDescent="0.25">
      <c r="O2546" s="55" t="str">
        <f t="shared" si="44"/>
        <v>01</v>
      </c>
    </row>
    <row r="2547" spans="15:15" x14ac:dyDescent="0.25">
      <c r="O2547" s="55" t="str">
        <f t="shared" si="44"/>
        <v>01</v>
      </c>
    </row>
    <row r="2548" spans="15:15" x14ac:dyDescent="0.25">
      <c r="O2548" s="55" t="str">
        <f t="shared" si="44"/>
        <v>01</v>
      </c>
    </row>
    <row r="2549" spans="15:15" x14ac:dyDescent="0.25">
      <c r="O2549" s="55" t="str">
        <f t="shared" si="44"/>
        <v>01</v>
      </c>
    </row>
    <row r="2550" spans="15:15" x14ac:dyDescent="0.25">
      <c r="O2550" s="55" t="str">
        <f t="shared" si="44"/>
        <v>01</v>
      </c>
    </row>
    <row r="2551" spans="15:15" x14ac:dyDescent="0.25">
      <c r="O2551" s="55" t="str">
        <f t="shared" si="44"/>
        <v>01</v>
      </c>
    </row>
    <row r="2552" spans="15:15" x14ac:dyDescent="0.25">
      <c r="O2552" s="55" t="str">
        <f t="shared" si="44"/>
        <v>01</v>
      </c>
    </row>
    <row r="2553" spans="15:15" x14ac:dyDescent="0.25">
      <c r="O2553" s="55" t="str">
        <f t="shared" si="44"/>
        <v>01</v>
      </c>
    </row>
    <row r="2554" spans="15:15" x14ac:dyDescent="0.25">
      <c r="O2554" s="55" t="str">
        <f t="shared" si="44"/>
        <v>01</v>
      </c>
    </row>
    <row r="2555" spans="15:15" x14ac:dyDescent="0.25">
      <c r="O2555" s="55" t="str">
        <f t="shared" si="44"/>
        <v>01</v>
      </c>
    </row>
    <row r="2556" spans="15:15" x14ac:dyDescent="0.25">
      <c r="O2556" s="55" t="str">
        <f t="shared" si="44"/>
        <v>01</v>
      </c>
    </row>
    <row r="2557" spans="15:15" x14ac:dyDescent="0.25">
      <c r="O2557" s="55" t="str">
        <f t="shared" si="44"/>
        <v>01</v>
      </c>
    </row>
    <row r="2558" spans="15:15" x14ac:dyDescent="0.25">
      <c r="O2558" s="55" t="str">
        <f t="shared" si="44"/>
        <v>01</v>
      </c>
    </row>
    <row r="2559" spans="15:15" x14ac:dyDescent="0.25">
      <c r="O2559" s="55" t="str">
        <f t="shared" si="44"/>
        <v>01</v>
      </c>
    </row>
    <row r="2560" spans="15:15" x14ac:dyDescent="0.25">
      <c r="O2560" s="55" t="str">
        <f t="shared" si="44"/>
        <v>01</v>
      </c>
    </row>
    <row r="2561" spans="15:15" x14ac:dyDescent="0.25">
      <c r="O2561" s="55" t="str">
        <f t="shared" si="44"/>
        <v>01</v>
      </c>
    </row>
    <row r="2562" spans="15:15" x14ac:dyDescent="0.25">
      <c r="O2562" s="55" t="str">
        <f t="shared" si="44"/>
        <v>01</v>
      </c>
    </row>
    <row r="2563" spans="15:15" x14ac:dyDescent="0.25">
      <c r="O2563" s="55" t="str">
        <f t="shared" si="44"/>
        <v>01</v>
      </c>
    </row>
    <row r="2564" spans="15:15" x14ac:dyDescent="0.25">
      <c r="O2564" s="55" t="str">
        <f t="shared" si="44"/>
        <v>01</v>
      </c>
    </row>
    <row r="2565" spans="15:15" x14ac:dyDescent="0.25">
      <c r="O2565" s="55" t="str">
        <f t="shared" si="44"/>
        <v>01</v>
      </c>
    </row>
    <row r="2566" spans="15:15" x14ac:dyDescent="0.25">
      <c r="O2566" s="55" t="str">
        <f t="shared" si="44"/>
        <v>01</v>
      </c>
    </row>
    <row r="2567" spans="15:15" x14ac:dyDescent="0.25">
      <c r="O2567" s="55" t="str">
        <f t="shared" si="44"/>
        <v>01</v>
      </c>
    </row>
    <row r="2568" spans="15:15" x14ac:dyDescent="0.25">
      <c r="O2568" s="55" t="str">
        <f t="shared" si="44"/>
        <v>01</v>
      </c>
    </row>
    <row r="2569" spans="15:15" x14ac:dyDescent="0.25">
      <c r="O2569" s="55" t="str">
        <f t="shared" si="44"/>
        <v>01</v>
      </c>
    </row>
    <row r="2570" spans="15:15" x14ac:dyDescent="0.25">
      <c r="O2570" s="55" t="str">
        <f t="shared" si="44"/>
        <v>01</v>
      </c>
    </row>
    <row r="2571" spans="15:15" x14ac:dyDescent="0.25">
      <c r="O2571" s="55" t="str">
        <f t="shared" si="44"/>
        <v>01</v>
      </c>
    </row>
    <row r="2572" spans="15:15" x14ac:dyDescent="0.25">
      <c r="O2572" s="55" t="str">
        <f t="shared" si="44"/>
        <v>01</v>
      </c>
    </row>
    <row r="2573" spans="15:15" x14ac:dyDescent="0.25">
      <c r="O2573" s="55" t="str">
        <f t="shared" si="44"/>
        <v>01</v>
      </c>
    </row>
    <row r="2574" spans="15:15" x14ac:dyDescent="0.25">
      <c r="O2574" s="55" t="str">
        <f t="shared" si="44"/>
        <v>01</v>
      </c>
    </row>
    <row r="2575" spans="15:15" x14ac:dyDescent="0.25">
      <c r="O2575" s="55" t="str">
        <f t="shared" si="44"/>
        <v>01</v>
      </c>
    </row>
    <row r="2576" spans="15:15" x14ac:dyDescent="0.25">
      <c r="O2576" s="55" t="str">
        <f t="shared" si="44"/>
        <v>01</v>
      </c>
    </row>
    <row r="2577" spans="15:15" x14ac:dyDescent="0.25">
      <c r="O2577" s="55" t="str">
        <f t="shared" si="44"/>
        <v>01</v>
      </c>
    </row>
    <row r="2578" spans="15:15" x14ac:dyDescent="0.25">
      <c r="O2578" s="55" t="str">
        <f t="shared" si="44"/>
        <v>01</v>
      </c>
    </row>
    <row r="2579" spans="15:15" x14ac:dyDescent="0.25">
      <c r="O2579" s="55" t="str">
        <f t="shared" si="44"/>
        <v>01</v>
      </c>
    </row>
    <row r="2580" spans="15:15" x14ac:dyDescent="0.25">
      <c r="O2580" s="55" t="str">
        <f t="shared" si="44"/>
        <v>01</v>
      </c>
    </row>
    <row r="2581" spans="15:15" x14ac:dyDescent="0.25">
      <c r="O2581" s="55" t="str">
        <f t="shared" si="44"/>
        <v>01</v>
      </c>
    </row>
    <row r="2582" spans="15:15" x14ac:dyDescent="0.25">
      <c r="O2582" s="55" t="str">
        <f t="shared" si="44"/>
        <v>01</v>
      </c>
    </row>
    <row r="2583" spans="15:15" x14ac:dyDescent="0.25">
      <c r="O2583" s="55" t="str">
        <f t="shared" si="44"/>
        <v>01</v>
      </c>
    </row>
    <row r="2584" spans="15:15" x14ac:dyDescent="0.25">
      <c r="O2584" s="55" t="str">
        <f t="shared" si="44"/>
        <v>01</v>
      </c>
    </row>
    <row r="2585" spans="15:15" x14ac:dyDescent="0.25">
      <c r="O2585" s="55" t="str">
        <f t="shared" si="44"/>
        <v>01</v>
      </c>
    </row>
    <row r="2586" spans="15:15" x14ac:dyDescent="0.25">
      <c r="O2586" s="55" t="str">
        <f t="shared" ref="O2586:O2649" si="45">+TEXT(H2586,"MM")</f>
        <v>01</v>
      </c>
    </row>
    <row r="2587" spans="15:15" x14ac:dyDescent="0.25">
      <c r="O2587" s="55" t="str">
        <f t="shared" si="45"/>
        <v>01</v>
      </c>
    </row>
    <row r="2588" spans="15:15" x14ac:dyDescent="0.25">
      <c r="O2588" s="55" t="str">
        <f t="shared" si="45"/>
        <v>01</v>
      </c>
    </row>
    <row r="2589" spans="15:15" x14ac:dyDescent="0.25">
      <c r="O2589" s="55" t="str">
        <f t="shared" si="45"/>
        <v>01</v>
      </c>
    </row>
    <row r="2590" spans="15:15" x14ac:dyDescent="0.25">
      <c r="O2590" s="55" t="str">
        <f t="shared" si="45"/>
        <v>01</v>
      </c>
    </row>
    <row r="2591" spans="15:15" x14ac:dyDescent="0.25">
      <c r="O2591" s="55" t="str">
        <f t="shared" si="45"/>
        <v>01</v>
      </c>
    </row>
    <row r="2592" spans="15:15" x14ac:dyDescent="0.25">
      <c r="O2592" s="55" t="str">
        <f t="shared" si="45"/>
        <v>01</v>
      </c>
    </row>
    <row r="2593" spans="15:15" x14ac:dyDescent="0.25">
      <c r="O2593" s="55" t="str">
        <f t="shared" si="45"/>
        <v>01</v>
      </c>
    </row>
    <row r="2594" spans="15:15" x14ac:dyDescent="0.25">
      <c r="O2594" s="55" t="str">
        <f t="shared" si="45"/>
        <v>01</v>
      </c>
    </row>
    <row r="2595" spans="15:15" x14ac:dyDescent="0.25">
      <c r="O2595" s="55" t="str">
        <f t="shared" si="45"/>
        <v>01</v>
      </c>
    </row>
    <row r="2596" spans="15:15" x14ac:dyDescent="0.25">
      <c r="O2596" s="55" t="str">
        <f t="shared" si="45"/>
        <v>01</v>
      </c>
    </row>
    <row r="2597" spans="15:15" x14ac:dyDescent="0.25">
      <c r="O2597" s="55" t="str">
        <f t="shared" si="45"/>
        <v>01</v>
      </c>
    </row>
    <row r="2598" spans="15:15" x14ac:dyDescent="0.25">
      <c r="O2598" s="55" t="str">
        <f t="shared" si="45"/>
        <v>01</v>
      </c>
    </row>
    <row r="2599" spans="15:15" x14ac:dyDescent="0.25">
      <c r="O2599" s="55" t="str">
        <f t="shared" si="45"/>
        <v>01</v>
      </c>
    </row>
    <row r="2600" spans="15:15" x14ac:dyDescent="0.25">
      <c r="O2600" s="55" t="str">
        <f t="shared" si="45"/>
        <v>01</v>
      </c>
    </row>
    <row r="2601" spans="15:15" x14ac:dyDescent="0.25">
      <c r="O2601" s="55" t="str">
        <f t="shared" si="45"/>
        <v>01</v>
      </c>
    </row>
    <row r="2602" spans="15:15" x14ac:dyDescent="0.25">
      <c r="O2602" s="55" t="str">
        <f t="shared" si="45"/>
        <v>01</v>
      </c>
    </row>
    <row r="2603" spans="15:15" x14ac:dyDescent="0.25">
      <c r="O2603" s="55" t="str">
        <f t="shared" si="45"/>
        <v>01</v>
      </c>
    </row>
    <row r="2604" spans="15:15" x14ac:dyDescent="0.25">
      <c r="O2604" s="55" t="str">
        <f t="shared" si="45"/>
        <v>01</v>
      </c>
    </row>
    <row r="2605" spans="15:15" x14ac:dyDescent="0.25">
      <c r="O2605" s="55" t="str">
        <f t="shared" si="45"/>
        <v>01</v>
      </c>
    </row>
    <row r="2606" spans="15:15" x14ac:dyDescent="0.25">
      <c r="O2606" s="55" t="str">
        <f t="shared" si="45"/>
        <v>01</v>
      </c>
    </row>
    <row r="2607" spans="15:15" x14ac:dyDescent="0.25">
      <c r="O2607" s="55" t="str">
        <f t="shared" si="45"/>
        <v>01</v>
      </c>
    </row>
    <row r="2608" spans="15:15" x14ac:dyDescent="0.25">
      <c r="O2608" s="55" t="str">
        <f t="shared" si="45"/>
        <v>01</v>
      </c>
    </row>
    <row r="2609" spans="15:15" x14ac:dyDescent="0.25">
      <c r="O2609" s="55" t="str">
        <f t="shared" si="45"/>
        <v>01</v>
      </c>
    </row>
    <row r="2610" spans="15:15" x14ac:dyDescent="0.25">
      <c r="O2610" s="55" t="str">
        <f t="shared" si="45"/>
        <v>01</v>
      </c>
    </row>
    <row r="2611" spans="15:15" x14ac:dyDescent="0.25">
      <c r="O2611" s="55" t="str">
        <f t="shared" si="45"/>
        <v>01</v>
      </c>
    </row>
    <row r="2612" spans="15:15" x14ac:dyDescent="0.25">
      <c r="O2612" s="55" t="str">
        <f t="shared" si="45"/>
        <v>01</v>
      </c>
    </row>
    <row r="2613" spans="15:15" x14ac:dyDescent="0.25">
      <c r="O2613" s="55" t="str">
        <f t="shared" si="45"/>
        <v>01</v>
      </c>
    </row>
    <row r="2614" spans="15:15" x14ac:dyDescent="0.25">
      <c r="O2614" s="55" t="str">
        <f t="shared" si="45"/>
        <v>01</v>
      </c>
    </row>
    <row r="2615" spans="15:15" x14ac:dyDescent="0.25">
      <c r="O2615" s="55" t="str">
        <f t="shared" si="45"/>
        <v>01</v>
      </c>
    </row>
    <row r="2616" spans="15:15" x14ac:dyDescent="0.25">
      <c r="O2616" s="55" t="str">
        <f t="shared" si="45"/>
        <v>01</v>
      </c>
    </row>
    <row r="2617" spans="15:15" x14ac:dyDescent="0.25">
      <c r="O2617" s="55" t="str">
        <f t="shared" si="45"/>
        <v>01</v>
      </c>
    </row>
    <row r="2618" spans="15:15" x14ac:dyDescent="0.25">
      <c r="O2618" s="55" t="str">
        <f t="shared" si="45"/>
        <v>01</v>
      </c>
    </row>
    <row r="2619" spans="15:15" x14ac:dyDescent="0.25">
      <c r="O2619" s="55" t="str">
        <f t="shared" si="45"/>
        <v>01</v>
      </c>
    </row>
    <row r="2620" spans="15:15" x14ac:dyDescent="0.25">
      <c r="O2620" s="55" t="str">
        <f t="shared" si="45"/>
        <v>01</v>
      </c>
    </row>
    <row r="2621" spans="15:15" x14ac:dyDescent="0.25">
      <c r="O2621" s="55" t="str">
        <f t="shared" si="45"/>
        <v>01</v>
      </c>
    </row>
    <row r="2622" spans="15:15" x14ac:dyDescent="0.25">
      <c r="O2622" s="55" t="str">
        <f t="shared" si="45"/>
        <v>01</v>
      </c>
    </row>
    <row r="2623" spans="15:15" x14ac:dyDescent="0.25">
      <c r="O2623" s="55" t="str">
        <f t="shared" si="45"/>
        <v>01</v>
      </c>
    </row>
    <row r="2624" spans="15:15" x14ac:dyDescent="0.25">
      <c r="O2624" s="55" t="str">
        <f t="shared" si="45"/>
        <v>01</v>
      </c>
    </row>
    <row r="2625" spans="15:15" x14ac:dyDescent="0.25">
      <c r="O2625" s="55" t="str">
        <f t="shared" si="45"/>
        <v>01</v>
      </c>
    </row>
    <row r="2626" spans="15:15" x14ac:dyDescent="0.25">
      <c r="O2626" s="55" t="str">
        <f t="shared" si="45"/>
        <v>01</v>
      </c>
    </row>
    <row r="2627" spans="15:15" x14ac:dyDescent="0.25">
      <c r="O2627" s="55" t="str">
        <f t="shared" si="45"/>
        <v>01</v>
      </c>
    </row>
    <row r="2628" spans="15:15" x14ac:dyDescent="0.25">
      <c r="O2628" s="55" t="str">
        <f t="shared" si="45"/>
        <v>01</v>
      </c>
    </row>
    <row r="2629" spans="15:15" x14ac:dyDescent="0.25">
      <c r="O2629" s="55" t="str">
        <f t="shared" si="45"/>
        <v>01</v>
      </c>
    </row>
    <row r="2630" spans="15:15" x14ac:dyDescent="0.25">
      <c r="O2630" s="55" t="str">
        <f t="shared" si="45"/>
        <v>01</v>
      </c>
    </row>
    <row r="2631" spans="15:15" x14ac:dyDescent="0.25">
      <c r="O2631" s="55" t="str">
        <f t="shared" si="45"/>
        <v>01</v>
      </c>
    </row>
    <row r="2632" spans="15:15" x14ac:dyDescent="0.25">
      <c r="O2632" s="55" t="str">
        <f t="shared" si="45"/>
        <v>01</v>
      </c>
    </row>
    <row r="2633" spans="15:15" x14ac:dyDescent="0.25">
      <c r="O2633" s="55" t="str">
        <f t="shared" si="45"/>
        <v>01</v>
      </c>
    </row>
    <row r="2634" spans="15:15" x14ac:dyDescent="0.25">
      <c r="O2634" s="55" t="str">
        <f t="shared" si="45"/>
        <v>01</v>
      </c>
    </row>
    <row r="2635" spans="15:15" x14ac:dyDescent="0.25">
      <c r="O2635" s="55" t="str">
        <f t="shared" si="45"/>
        <v>01</v>
      </c>
    </row>
    <row r="2636" spans="15:15" x14ac:dyDescent="0.25">
      <c r="O2636" s="55" t="str">
        <f t="shared" si="45"/>
        <v>01</v>
      </c>
    </row>
    <row r="2637" spans="15:15" x14ac:dyDescent="0.25">
      <c r="O2637" s="55" t="str">
        <f t="shared" si="45"/>
        <v>01</v>
      </c>
    </row>
    <row r="2638" spans="15:15" x14ac:dyDescent="0.25">
      <c r="O2638" s="55" t="str">
        <f t="shared" si="45"/>
        <v>01</v>
      </c>
    </row>
    <row r="2639" spans="15:15" x14ac:dyDescent="0.25">
      <c r="O2639" s="55" t="str">
        <f t="shared" si="45"/>
        <v>01</v>
      </c>
    </row>
    <row r="2640" spans="15:15" x14ac:dyDescent="0.25">
      <c r="O2640" s="55" t="str">
        <f t="shared" si="45"/>
        <v>01</v>
      </c>
    </row>
    <row r="2641" spans="15:15" x14ac:dyDescent="0.25">
      <c r="O2641" s="55" t="str">
        <f t="shared" si="45"/>
        <v>01</v>
      </c>
    </row>
    <row r="2642" spans="15:15" x14ac:dyDescent="0.25">
      <c r="O2642" s="55" t="str">
        <f t="shared" si="45"/>
        <v>01</v>
      </c>
    </row>
    <row r="2643" spans="15:15" x14ac:dyDescent="0.25">
      <c r="O2643" s="55" t="str">
        <f t="shared" si="45"/>
        <v>01</v>
      </c>
    </row>
    <row r="2644" spans="15:15" x14ac:dyDescent="0.25">
      <c r="O2644" s="55" t="str">
        <f t="shared" si="45"/>
        <v>01</v>
      </c>
    </row>
    <row r="2645" spans="15:15" x14ac:dyDescent="0.25">
      <c r="O2645" s="55" t="str">
        <f t="shared" si="45"/>
        <v>01</v>
      </c>
    </row>
    <row r="2646" spans="15:15" x14ac:dyDescent="0.25">
      <c r="O2646" s="55" t="str">
        <f t="shared" si="45"/>
        <v>01</v>
      </c>
    </row>
    <row r="2647" spans="15:15" x14ac:dyDescent="0.25">
      <c r="O2647" s="55" t="str">
        <f t="shared" si="45"/>
        <v>01</v>
      </c>
    </row>
    <row r="2648" spans="15:15" x14ac:dyDescent="0.25">
      <c r="O2648" s="55" t="str">
        <f t="shared" si="45"/>
        <v>01</v>
      </c>
    </row>
    <row r="2649" spans="15:15" x14ac:dyDescent="0.25">
      <c r="O2649" s="55" t="str">
        <f t="shared" si="45"/>
        <v>01</v>
      </c>
    </row>
    <row r="2650" spans="15:15" x14ac:dyDescent="0.25">
      <c r="O2650" s="55" t="str">
        <f t="shared" ref="O2650:O2713" si="46">+TEXT(H2650,"MM")</f>
        <v>01</v>
      </c>
    </row>
    <row r="2651" spans="15:15" x14ac:dyDescent="0.25">
      <c r="O2651" s="55" t="str">
        <f t="shared" si="46"/>
        <v>01</v>
      </c>
    </row>
    <row r="2652" spans="15:15" x14ac:dyDescent="0.25">
      <c r="O2652" s="55" t="str">
        <f t="shared" si="46"/>
        <v>01</v>
      </c>
    </row>
    <row r="2653" spans="15:15" x14ac:dyDescent="0.25">
      <c r="O2653" s="55" t="str">
        <f t="shared" si="46"/>
        <v>01</v>
      </c>
    </row>
    <row r="2654" spans="15:15" x14ac:dyDescent="0.25">
      <c r="O2654" s="55" t="str">
        <f t="shared" si="46"/>
        <v>01</v>
      </c>
    </row>
    <row r="2655" spans="15:15" x14ac:dyDescent="0.25">
      <c r="O2655" s="55" t="str">
        <f t="shared" si="46"/>
        <v>01</v>
      </c>
    </row>
    <row r="2656" spans="15:15" x14ac:dyDescent="0.25">
      <c r="O2656" s="55" t="str">
        <f t="shared" si="46"/>
        <v>01</v>
      </c>
    </row>
    <row r="2657" spans="15:15" x14ac:dyDescent="0.25">
      <c r="O2657" s="55" t="str">
        <f t="shared" si="46"/>
        <v>01</v>
      </c>
    </row>
    <row r="2658" spans="15:15" x14ac:dyDescent="0.25">
      <c r="O2658" s="55" t="str">
        <f t="shared" si="46"/>
        <v>01</v>
      </c>
    </row>
    <row r="2659" spans="15:15" x14ac:dyDescent="0.25">
      <c r="O2659" s="55" t="str">
        <f t="shared" si="46"/>
        <v>01</v>
      </c>
    </row>
    <row r="2660" spans="15:15" x14ac:dyDescent="0.25">
      <c r="O2660" s="55" t="str">
        <f t="shared" si="46"/>
        <v>01</v>
      </c>
    </row>
    <row r="2661" spans="15:15" x14ac:dyDescent="0.25">
      <c r="O2661" s="55" t="str">
        <f t="shared" si="46"/>
        <v>01</v>
      </c>
    </row>
    <row r="2662" spans="15:15" x14ac:dyDescent="0.25">
      <c r="O2662" s="55" t="str">
        <f t="shared" si="46"/>
        <v>01</v>
      </c>
    </row>
    <row r="2663" spans="15:15" x14ac:dyDescent="0.25">
      <c r="O2663" s="55" t="str">
        <f t="shared" si="46"/>
        <v>01</v>
      </c>
    </row>
    <row r="2664" spans="15:15" x14ac:dyDescent="0.25">
      <c r="O2664" s="55" t="str">
        <f t="shared" si="46"/>
        <v>01</v>
      </c>
    </row>
    <row r="2665" spans="15:15" x14ac:dyDescent="0.25">
      <c r="O2665" s="55" t="str">
        <f t="shared" si="46"/>
        <v>01</v>
      </c>
    </row>
    <row r="2666" spans="15:15" x14ac:dyDescent="0.25">
      <c r="O2666" s="55" t="str">
        <f t="shared" si="46"/>
        <v>01</v>
      </c>
    </row>
    <row r="2667" spans="15:15" x14ac:dyDescent="0.25">
      <c r="O2667" s="55" t="str">
        <f t="shared" si="46"/>
        <v>01</v>
      </c>
    </row>
    <row r="2668" spans="15:15" x14ac:dyDescent="0.25">
      <c r="O2668" s="55" t="str">
        <f t="shared" si="46"/>
        <v>01</v>
      </c>
    </row>
    <row r="2669" spans="15:15" x14ac:dyDescent="0.25">
      <c r="O2669" s="55" t="str">
        <f t="shared" si="46"/>
        <v>01</v>
      </c>
    </row>
    <row r="2670" spans="15:15" x14ac:dyDescent="0.25">
      <c r="O2670" s="55" t="str">
        <f t="shared" si="46"/>
        <v>01</v>
      </c>
    </row>
    <row r="2671" spans="15:15" x14ac:dyDescent="0.25">
      <c r="O2671" s="55" t="str">
        <f t="shared" si="46"/>
        <v>01</v>
      </c>
    </row>
    <row r="2672" spans="15:15" x14ac:dyDescent="0.25">
      <c r="O2672" s="55" t="str">
        <f t="shared" si="46"/>
        <v>01</v>
      </c>
    </row>
    <row r="2673" spans="15:15" x14ac:dyDescent="0.25">
      <c r="O2673" s="55" t="str">
        <f t="shared" si="46"/>
        <v>01</v>
      </c>
    </row>
    <row r="2674" spans="15:15" x14ac:dyDescent="0.25">
      <c r="O2674" s="55" t="str">
        <f t="shared" si="46"/>
        <v>01</v>
      </c>
    </row>
    <row r="2675" spans="15:15" x14ac:dyDescent="0.25">
      <c r="O2675" s="55" t="str">
        <f t="shared" si="46"/>
        <v>01</v>
      </c>
    </row>
    <row r="2676" spans="15:15" x14ac:dyDescent="0.25">
      <c r="O2676" s="55" t="str">
        <f t="shared" si="46"/>
        <v>01</v>
      </c>
    </row>
    <row r="2677" spans="15:15" x14ac:dyDescent="0.25">
      <c r="O2677" s="55" t="str">
        <f t="shared" si="46"/>
        <v>01</v>
      </c>
    </row>
    <row r="2678" spans="15:15" x14ac:dyDescent="0.25">
      <c r="O2678" s="55" t="str">
        <f t="shared" si="46"/>
        <v>01</v>
      </c>
    </row>
    <row r="2679" spans="15:15" x14ac:dyDescent="0.25">
      <c r="O2679" s="55" t="str">
        <f t="shared" si="46"/>
        <v>01</v>
      </c>
    </row>
    <row r="2680" spans="15:15" x14ac:dyDescent="0.25">
      <c r="O2680" s="55" t="str">
        <f t="shared" si="46"/>
        <v>01</v>
      </c>
    </row>
    <row r="2681" spans="15:15" x14ac:dyDescent="0.25">
      <c r="O2681" s="55" t="str">
        <f t="shared" si="46"/>
        <v>01</v>
      </c>
    </row>
    <row r="2682" spans="15:15" x14ac:dyDescent="0.25">
      <c r="O2682" s="55" t="str">
        <f t="shared" si="46"/>
        <v>01</v>
      </c>
    </row>
    <row r="2683" spans="15:15" x14ac:dyDescent="0.25">
      <c r="O2683" s="55" t="str">
        <f t="shared" si="46"/>
        <v>01</v>
      </c>
    </row>
    <row r="2684" spans="15:15" x14ac:dyDescent="0.25">
      <c r="O2684" s="55" t="str">
        <f t="shared" si="46"/>
        <v>01</v>
      </c>
    </row>
    <row r="2685" spans="15:15" x14ac:dyDescent="0.25">
      <c r="O2685" s="55" t="str">
        <f t="shared" si="46"/>
        <v>01</v>
      </c>
    </row>
    <row r="2686" spans="15:15" x14ac:dyDescent="0.25">
      <c r="O2686" s="55" t="str">
        <f t="shared" si="46"/>
        <v>01</v>
      </c>
    </row>
    <row r="2687" spans="15:15" x14ac:dyDescent="0.25">
      <c r="O2687" s="55" t="str">
        <f t="shared" si="46"/>
        <v>01</v>
      </c>
    </row>
    <row r="2688" spans="15:15" x14ac:dyDescent="0.25">
      <c r="O2688" s="55" t="str">
        <f t="shared" si="46"/>
        <v>01</v>
      </c>
    </row>
    <row r="2689" spans="15:15" x14ac:dyDescent="0.25">
      <c r="O2689" s="55" t="str">
        <f t="shared" si="46"/>
        <v>01</v>
      </c>
    </row>
    <row r="2690" spans="15:15" x14ac:dyDescent="0.25">
      <c r="O2690" s="55" t="str">
        <f t="shared" si="46"/>
        <v>01</v>
      </c>
    </row>
    <row r="2691" spans="15:15" x14ac:dyDescent="0.25">
      <c r="O2691" s="55" t="str">
        <f t="shared" si="46"/>
        <v>01</v>
      </c>
    </row>
    <row r="2692" spans="15:15" x14ac:dyDescent="0.25">
      <c r="O2692" s="55" t="str">
        <f t="shared" si="46"/>
        <v>01</v>
      </c>
    </row>
    <row r="2693" spans="15:15" x14ac:dyDescent="0.25">
      <c r="O2693" s="55" t="str">
        <f t="shared" si="46"/>
        <v>01</v>
      </c>
    </row>
    <row r="2694" spans="15:15" x14ac:dyDescent="0.25">
      <c r="O2694" s="55" t="str">
        <f t="shared" si="46"/>
        <v>01</v>
      </c>
    </row>
    <row r="2695" spans="15:15" x14ac:dyDescent="0.25">
      <c r="O2695" s="55" t="str">
        <f t="shared" si="46"/>
        <v>01</v>
      </c>
    </row>
    <row r="2696" spans="15:15" x14ac:dyDescent="0.25">
      <c r="O2696" s="55" t="str">
        <f t="shared" si="46"/>
        <v>01</v>
      </c>
    </row>
    <row r="2697" spans="15:15" x14ac:dyDescent="0.25">
      <c r="O2697" s="55" t="str">
        <f t="shared" si="46"/>
        <v>01</v>
      </c>
    </row>
    <row r="2698" spans="15:15" x14ac:dyDescent="0.25">
      <c r="O2698" s="55" t="str">
        <f t="shared" si="46"/>
        <v>01</v>
      </c>
    </row>
    <row r="2699" spans="15:15" x14ac:dyDescent="0.25">
      <c r="O2699" s="55" t="str">
        <f t="shared" si="46"/>
        <v>01</v>
      </c>
    </row>
    <row r="2700" spans="15:15" x14ac:dyDescent="0.25">
      <c r="O2700" s="55" t="str">
        <f t="shared" si="46"/>
        <v>01</v>
      </c>
    </row>
    <row r="2701" spans="15:15" x14ac:dyDescent="0.25">
      <c r="O2701" s="55" t="str">
        <f t="shared" si="46"/>
        <v>01</v>
      </c>
    </row>
    <row r="2702" spans="15:15" x14ac:dyDescent="0.25">
      <c r="O2702" s="55" t="str">
        <f t="shared" si="46"/>
        <v>01</v>
      </c>
    </row>
    <row r="2703" spans="15:15" x14ac:dyDescent="0.25">
      <c r="O2703" s="55" t="str">
        <f t="shared" si="46"/>
        <v>01</v>
      </c>
    </row>
    <row r="2704" spans="15:15" x14ac:dyDescent="0.25">
      <c r="O2704" s="55" t="str">
        <f t="shared" si="46"/>
        <v>01</v>
      </c>
    </row>
    <row r="2705" spans="15:15" x14ac:dyDescent="0.25">
      <c r="O2705" s="55" t="str">
        <f t="shared" si="46"/>
        <v>01</v>
      </c>
    </row>
    <row r="2706" spans="15:15" x14ac:dyDescent="0.25">
      <c r="O2706" s="55" t="str">
        <f t="shared" si="46"/>
        <v>01</v>
      </c>
    </row>
    <row r="2707" spans="15:15" x14ac:dyDescent="0.25">
      <c r="O2707" s="55" t="str">
        <f t="shared" si="46"/>
        <v>01</v>
      </c>
    </row>
    <row r="2708" spans="15:15" x14ac:dyDescent="0.25">
      <c r="O2708" s="55" t="str">
        <f t="shared" si="46"/>
        <v>01</v>
      </c>
    </row>
    <row r="2709" spans="15:15" x14ac:dyDescent="0.25">
      <c r="O2709" s="55" t="str">
        <f t="shared" si="46"/>
        <v>01</v>
      </c>
    </row>
    <row r="2710" spans="15:15" x14ac:dyDescent="0.25">
      <c r="O2710" s="55" t="str">
        <f t="shared" si="46"/>
        <v>01</v>
      </c>
    </row>
    <row r="2711" spans="15:15" x14ac:dyDescent="0.25">
      <c r="O2711" s="55" t="str">
        <f t="shared" si="46"/>
        <v>01</v>
      </c>
    </row>
    <row r="2712" spans="15:15" x14ac:dyDescent="0.25">
      <c r="O2712" s="55" t="str">
        <f t="shared" si="46"/>
        <v>01</v>
      </c>
    </row>
    <row r="2713" spans="15:15" x14ac:dyDescent="0.25">
      <c r="O2713" s="55" t="str">
        <f t="shared" si="46"/>
        <v>01</v>
      </c>
    </row>
    <row r="2714" spans="15:15" x14ac:dyDescent="0.25">
      <c r="O2714" s="55" t="str">
        <f t="shared" ref="O2714:O2777" si="47">+TEXT(H2714,"MM")</f>
        <v>01</v>
      </c>
    </row>
    <row r="2715" spans="15:15" x14ac:dyDescent="0.25">
      <c r="O2715" s="55" t="str">
        <f t="shared" si="47"/>
        <v>01</v>
      </c>
    </row>
    <row r="2716" spans="15:15" x14ac:dyDescent="0.25">
      <c r="O2716" s="55" t="str">
        <f t="shared" si="47"/>
        <v>01</v>
      </c>
    </row>
    <row r="2717" spans="15:15" x14ac:dyDescent="0.25">
      <c r="O2717" s="55" t="str">
        <f t="shared" si="47"/>
        <v>01</v>
      </c>
    </row>
    <row r="2718" spans="15:15" x14ac:dyDescent="0.25">
      <c r="O2718" s="55" t="str">
        <f t="shared" si="47"/>
        <v>01</v>
      </c>
    </row>
    <row r="2719" spans="15:15" x14ac:dyDescent="0.25">
      <c r="O2719" s="55" t="str">
        <f t="shared" si="47"/>
        <v>01</v>
      </c>
    </row>
    <row r="2720" spans="15:15" x14ac:dyDescent="0.25">
      <c r="O2720" s="55" t="str">
        <f t="shared" si="47"/>
        <v>01</v>
      </c>
    </row>
    <row r="2721" spans="15:15" x14ac:dyDescent="0.25">
      <c r="O2721" s="55" t="str">
        <f t="shared" si="47"/>
        <v>01</v>
      </c>
    </row>
    <row r="2722" spans="15:15" x14ac:dyDescent="0.25">
      <c r="O2722" s="55" t="str">
        <f t="shared" si="47"/>
        <v>01</v>
      </c>
    </row>
    <row r="2723" spans="15:15" x14ac:dyDescent="0.25">
      <c r="O2723" s="55" t="str">
        <f t="shared" si="47"/>
        <v>01</v>
      </c>
    </row>
    <row r="2724" spans="15:15" x14ac:dyDescent="0.25">
      <c r="O2724" s="55" t="str">
        <f t="shared" si="47"/>
        <v>01</v>
      </c>
    </row>
    <row r="2725" spans="15:15" x14ac:dyDescent="0.25">
      <c r="O2725" s="55" t="str">
        <f t="shared" si="47"/>
        <v>01</v>
      </c>
    </row>
    <row r="2726" spans="15:15" x14ac:dyDescent="0.25">
      <c r="O2726" s="55" t="str">
        <f t="shared" si="47"/>
        <v>01</v>
      </c>
    </row>
    <row r="2727" spans="15:15" x14ac:dyDescent="0.25">
      <c r="O2727" s="55" t="str">
        <f t="shared" si="47"/>
        <v>01</v>
      </c>
    </row>
    <row r="2728" spans="15:15" x14ac:dyDescent="0.25">
      <c r="O2728" s="55" t="str">
        <f t="shared" si="47"/>
        <v>01</v>
      </c>
    </row>
    <row r="2729" spans="15:15" x14ac:dyDescent="0.25">
      <c r="O2729" s="55" t="str">
        <f t="shared" si="47"/>
        <v>01</v>
      </c>
    </row>
    <row r="2730" spans="15:15" x14ac:dyDescent="0.25">
      <c r="O2730" s="55" t="str">
        <f t="shared" si="47"/>
        <v>01</v>
      </c>
    </row>
    <row r="2731" spans="15:15" x14ac:dyDescent="0.25">
      <c r="O2731" s="55" t="str">
        <f t="shared" si="47"/>
        <v>01</v>
      </c>
    </row>
    <row r="2732" spans="15:15" x14ac:dyDescent="0.25">
      <c r="O2732" s="55" t="str">
        <f t="shared" si="47"/>
        <v>01</v>
      </c>
    </row>
    <row r="2733" spans="15:15" x14ac:dyDescent="0.25">
      <c r="O2733" s="55" t="str">
        <f t="shared" si="47"/>
        <v>01</v>
      </c>
    </row>
    <row r="2734" spans="15:15" x14ac:dyDescent="0.25">
      <c r="O2734" s="55" t="str">
        <f t="shared" si="47"/>
        <v>01</v>
      </c>
    </row>
    <row r="2735" spans="15:15" x14ac:dyDescent="0.25">
      <c r="O2735" s="55" t="str">
        <f t="shared" si="47"/>
        <v>01</v>
      </c>
    </row>
    <row r="2736" spans="15:15" x14ac:dyDescent="0.25">
      <c r="O2736" s="55" t="str">
        <f t="shared" si="47"/>
        <v>01</v>
      </c>
    </row>
    <row r="2737" spans="15:15" x14ac:dyDescent="0.25">
      <c r="O2737" s="55" t="str">
        <f t="shared" si="47"/>
        <v>01</v>
      </c>
    </row>
    <row r="2738" spans="15:15" x14ac:dyDescent="0.25">
      <c r="O2738" s="55" t="str">
        <f t="shared" si="47"/>
        <v>01</v>
      </c>
    </row>
    <row r="2739" spans="15:15" x14ac:dyDescent="0.25">
      <c r="O2739" s="55" t="str">
        <f t="shared" si="47"/>
        <v>01</v>
      </c>
    </row>
    <row r="2740" spans="15:15" x14ac:dyDescent="0.25">
      <c r="O2740" s="55" t="str">
        <f t="shared" si="47"/>
        <v>01</v>
      </c>
    </row>
    <row r="2741" spans="15:15" x14ac:dyDescent="0.25">
      <c r="O2741" s="55" t="str">
        <f t="shared" si="47"/>
        <v>01</v>
      </c>
    </row>
    <row r="2742" spans="15:15" x14ac:dyDescent="0.25">
      <c r="O2742" s="55" t="str">
        <f t="shared" si="47"/>
        <v>01</v>
      </c>
    </row>
    <row r="2743" spans="15:15" x14ac:dyDescent="0.25">
      <c r="O2743" s="55" t="str">
        <f t="shared" si="47"/>
        <v>01</v>
      </c>
    </row>
    <row r="2744" spans="15:15" x14ac:dyDescent="0.25">
      <c r="O2744" s="55" t="str">
        <f t="shared" si="47"/>
        <v>01</v>
      </c>
    </row>
    <row r="2745" spans="15:15" x14ac:dyDescent="0.25">
      <c r="O2745" s="55" t="str">
        <f t="shared" si="47"/>
        <v>01</v>
      </c>
    </row>
    <row r="2746" spans="15:15" x14ac:dyDescent="0.25">
      <c r="O2746" s="55" t="str">
        <f t="shared" si="47"/>
        <v>01</v>
      </c>
    </row>
    <row r="2747" spans="15:15" x14ac:dyDescent="0.25">
      <c r="O2747" s="55" t="str">
        <f t="shared" si="47"/>
        <v>01</v>
      </c>
    </row>
    <row r="2748" spans="15:15" x14ac:dyDescent="0.25">
      <c r="O2748" s="55" t="str">
        <f t="shared" si="47"/>
        <v>01</v>
      </c>
    </row>
    <row r="2749" spans="15:15" x14ac:dyDescent="0.25">
      <c r="O2749" s="55" t="str">
        <f t="shared" si="47"/>
        <v>01</v>
      </c>
    </row>
    <row r="2750" spans="15:15" x14ac:dyDescent="0.25">
      <c r="O2750" s="55" t="str">
        <f t="shared" si="47"/>
        <v>01</v>
      </c>
    </row>
    <row r="2751" spans="15:15" x14ac:dyDescent="0.25">
      <c r="O2751" s="55" t="str">
        <f t="shared" si="47"/>
        <v>01</v>
      </c>
    </row>
    <row r="2752" spans="15:15" x14ac:dyDescent="0.25">
      <c r="O2752" s="55" t="str">
        <f t="shared" si="47"/>
        <v>01</v>
      </c>
    </row>
    <row r="2753" spans="15:15" x14ac:dyDescent="0.25">
      <c r="O2753" s="55" t="str">
        <f t="shared" si="47"/>
        <v>01</v>
      </c>
    </row>
    <row r="2754" spans="15:15" x14ac:dyDescent="0.25">
      <c r="O2754" s="55" t="str">
        <f t="shared" si="47"/>
        <v>01</v>
      </c>
    </row>
    <row r="2755" spans="15:15" x14ac:dyDescent="0.25">
      <c r="O2755" s="55" t="str">
        <f t="shared" si="47"/>
        <v>01</v>
      </c>
    </row>
    <row r="2756" spans="15:15" x14ac:dyDescent="0.25">
      <c r="O2756" s="55" t="str">
        <f t="shared" si="47"/>
        <v>01</v>
      </c>
    </row>
    <row r="2757" spans="15:15" x14ac:dyDescent="0.25">
      <c r="O2757" s="55" t="str">
        <f t="shared" si="47"/>
        <v>01</v>
      </c>
    </row>
    <row r="2758" spans="15:15" x14ac:dyDescent="0.25">
      <c r="O2758" s="55" t="str">
        <f t="shared" si="47"/>
        <v>01</v>
      </c>
    </row>
    <row r="2759" spans="15:15" x14ac:dyDescent="0.25">
      <c r="O2759" s="55" t="str">
        <f t="shared" si="47"/>
        <v>01</v>
      </c>
    </row>
    <row r="2760" spans="15:15" x14ac:dyDescent="0.25">
      <c r="O2760" s="55" t="str">
        <f t="shared" si="47"/>
        <v>01</v>
      </c>
    </row>
    <row r="2761" spans="15:15" x14ac:dyDescent="0.25">
      <c r="O2761" s="55" t="str">
        <f t="shared" si="47"/>
        <v>01</v>
      </c>
    </row>
    <row r="2762" spans="15:15" x14ac:dyDescent="0.25">
      <c r="O2762" s="55" t="str">
        <f t="shared" si="47"/>
        <v>01</v>
      </c>
    </row>
    <row r="2763" spans="15:15" x14ac:dyDescent="0.25">
      <c r="O2763" s="55" t="str">
        <f t="shared" si="47"/>
        <v>01</v>
      </c>
    </row>
    <row r="2764" spans="15:15" x14ac:dyDescent="0.25">
      <c r="O2764" s="55" t="str">
        <f t="shared" si="47"/>
        <v>01</v>
      </c>
    </row>
    <row r="2765" spans="15:15" x14ac:dyDescent="0.25">
      <c r="O2765" s="55" t="str">
        <f t="shared" si="47"/>
        <v>01</v>
      </c>
    </row>
    <row r="2766" spans="15:15" x14ac:dyDescent="0.25">
      <c r="O2766" s="55" t="str">
        <f t="shared" si="47"/>
        <v>01</v>
      </c>
    </row>
    <row r="2767" spans="15:15" x14ac:dyDescent="0.25">
      <c r="O2767" s="55" t="str">
        <f t="shared" si="47"/>
        <v>01</v>
      </c>
    </row>
    <row r="2768" spans="15:15" x14ac:dyDescent="0.25">
      <c r="O2768" s="55" t="str">
        <f t="shared" si="47"/>
        <v>01</v>
      </c>
    </row>
    <row r="2769" spans="15:15" x14ac:dyDescent="0.25">
      <c r="O2769" s="55" t="str">
        <f t="shared" si="47"/>
        <v>01</v>
      </c>
    </row>
    <row r="2770" spans="15:15" x14ac:dyDescent="0.25">
      <c r="O2770" s="55" t="str">
        <f t="shared" si="47"/>
        <v>01</v>
      </c>
    </row>
    <row r="2771" spans="15:15" x14ac:dyDescent="0.25">
      <c r="O2771" s="55" t="str">
        <f t="shared" si="47"/>
        <v>01</v>
      </c>
    </row>
    <row r="2772" spans="15:15" x14ac:dyDescent="0.25">
      <c r="O2772" s="55" t="str">
        <f t="shared" si="47"/>
        <v>01</v>
      </c>
    </row>
    <row r="2773" spans="15:15" x14ac:dyDescent="0.25">
      <c r="O2773" s="55" t="str">
        <f t="shared" si="47"/>
        <v>01</v>
      </c>
    </row>
    <row r="2774" spans="15:15" x14ac:dyDescent="0.25">
      <c r="O2774" s="55" t="str">
        <f t="shared" si="47"/>
        <v>01</v>
      </c>
    </row>
    <row r="2775" spans="15:15" x14ac:dyDescent="0.25">
      <c r="O2775" s="55" t="str">
        <f t="shared" si="47"/>
        <v>01</v>
      </c>
    </row>
    <row r="2776" spans="15:15" x14ac:dyDescent="0.25">
      <c r="O2776" s="55" t="str">
        <f t="shared" si="47"/>
        <v>01</v>
      </c>
    </row>
    <row r="2777" spans="15:15" x14ac:dyDescent="0.25">
      <c r="O2777" s="55" t="str">
        <f t="shared" si="47"/>
        <v>01</v>
      </c>
    </row>
    <row r="2778" spans="15:15" x14ac:dyDescent="0.25">
      <c r="O2778" s="55" t="str">
        <f t="shared" ref="O2778:O2841" si="48">+TEXT(H2778,"MM")</f>
        <v>01</v>
      </c>
    </row>
    <row r="2779" spans="15:15" x14ac:dyDescent="0.25">
      <c r="O2779" s="55" t="str">
        <f t="shared" si="48"/>
        <v>01</v>
      </c>
    </row>
    <row r="2780" spans="15:15" x14ac:dyDescent="0.25">
      <c r="O2780" s="55" t="str">
        <f t="shared" si="48"/>
        <v>01</v>
      </c>
    </row>
    <row r="2781" spans="15:15" x14ac:dyDescent="0.25">
      <c r="O2781" s="55" t="str">
        <f t="shared" si="48"/>
        <v>01</v>
      </c>
    </row>
    <row r="2782" spans="15:15" x14ac:dyDescent="0.25">
      <c r="O2782" s="55" t="str">
        <f t="shared" si="48"/>
        <v>01</v>
      </c>
    </row>
    <row r="2783" spans="15:15" x14ac:dyDescent="0.25">
      <c r="O2783" s="55" t="str">
        <f t="shared" si="48"/>
        <v>01</v>
      </c>
    </row>
    <row r="2784" spans="15:15" x14ac:dyDescent="0.25">
      <c r="O2784" s="55" t="str">
        <f t="shared" si="48"/>
        <v>01</v>
      </c>
    </row>
    <row r="2785" spans="15:15" x14ac:dyDescent="0.25">
      <c r="O2785" s="55" t="str">
        <f t="shared" si="48"/>
        <v>01</v>
      </c>
    </row>
    <row r="2786" spans="15:15" x14ac:dyDescent="0.25">
      <c r="O2786" s="55" t="str">
        <f t="shared" si="48"/>
        <v>01</v>
      </c>
    </row>
    <row r="2787" spans="15:15" x14ac:dyDescent="0.25">
      <c r="O2787" s="55" t="str">
        <f t="shared" si="48"/>
        <v>01</v>
      </c>
    </row>
    <row r="2788" spans="15:15" x14ac:dyDescent="0.25">
      <c r="O2788" s="55" t="str">
        <f t="shared" si="48"/>
        <v>01</v>
      </c>
    </row>
    <row r="2789" spans="15:15" x14ac:dyDescent="0.25">
      <c r="O2789" s="55" t="str">
        <f t="shared" si="48"/>
        <v>01</v>
      </c>
    </row>
    <row r="2790" spans="15:15" x14ac:dyDescent="0.25">
      <c r="O2790" s="55" t="str">
        <f t="shared" si="48"/>
        <v>01</v>
      </c>
    </row>
    <row r="2791" spans="15:15" x14ac:dyDescent="0.25">
      <c r="O2791" s="55" t="str">
        <f t="shared" si="48"/>
        <v>01</v>
      </c>
    </row>
    <row r="2792" spans="15:15" x14ac:dyDescent="0.25">
      <c r="O2792" s="55" t="str">
        <f t="shared" si="48"/>
        <v>01</v>
      </c>
    </row>
    <row r="2793" spans="15:15" x14ac:dyDescent="0.25">
      <c r="O2793" s="55" t="str">
        <f t="shared" si="48"/>
        <v>01</v>
      </c>
    </row>
    <row r="2794" spans="15:15" x14ac:dyDescent="0.25">
      <c r="O2794" s="55" t="str">
        <f t="shared" si="48"/>
        <v>01</v>
      </c>
    </row>
    <row r="2795" spans="15:15" x14ac:dyDescent="0.25">
      <c r="O2795" s="55" t="str">
        <f t="shared" si="48"/>
        <v>01</v>
      </c>
    </row>
    <row r="2796" spans="15:15" x14ac:dyDescent="0.25">
      <c r="O2796" s="55" t="str">
        <f t="shared" si="48"/>
        <v>01</v>
      </c>
    </row>
    <row r="2797" spans="15:15" x14ac:dyDescent="0.25">
      <c r="O2797" s="55" t="str">
        <f t="shared" si="48"/>
        <v>01</v>
      </c>
    </row>
    <row r="2798" spans="15:15" x14ac:dyDescent="0.25">
      <c r="O2798" s="55" t="str">
        <f t="shared" si="48"/>
        <v>01</v>
      </c>
    </row>
    <row r="2799" spans="15:15" x14ac:dyDescent="0.25">
      <c r="O2799" s="55" t="str">
        <f t="shared" si="48"/>
        <v>01</v>
      </c>
    </row>
    <row r="2800" spans="15:15" x14ac:dyDescent="0.25">
      <c r="O2800" s="55" t="str">
        <f t="shared" si="48"/>
        <v>01</v>
      </c>
    </row>
    <row r="2801" spans="15:15" x14ac:dyDescent="0.25">
      <c r="O2801" s="55" t="str">
        <f t="shared" si="48"/>
        <v>01</v>
      </c>
    </row>
    <row r="2802" spans="15:15" x14ac:dyDescent="0.25">
      <c r="O2802" s="55" t="str">
        <f t="shared" si="48"/>
        <v>01</v>
      </c>
    </row>
    <row r="2803" spans="15:15" x14ac:dyDescent="0.25">
      <c r="O2803" s="55" t="str">
        <f t="shared" si="48"/>
        <v>01</v>
      </c>
    </row>
    <row r="2804" spans="15:15" x14ac:dyDescent="0.25">
      <c r="O2804" s="55" t="str">
        <f t="shared" si="48"/>
        <v>01</v>
      </c>
    </row>
    <row r="2805" spans="15:15" x14ac:dyDescent="0.25">
      <c r="O2805" s="55" t="str">
        <f t="shared" si="48"/>
        <v>01</v>
      </c>
    </row>
    <row r="2806" spans="15:15" x14ac:dyDescent="0.25">
      <c r="O2806" s="55" t="str">
        <f t="shared" si="48"/>
        <v>01</v>
      </c>
    </row>
    <row r="2807" spans="15:15" x14ac:dyDescent="0.25">
      <c r="O2807" s="55" t="str">
        <f t="shared" si="48"/>
        <v>01</v>
      </c>
    </row>
    <row r="2808" spans="15:15" x14ac:dyDescent="0.25">
      <c r="O2808" s="55" t="str">
        <f t="shared" si="48"/>
        <v>01</v>
      </c>
    </row>
    <row r="2809" spans="15:15" x14ac:dyDescent="0.25">
      <c r="O2809" s="55" t="str">
        <f t="shared" si="48"/>
        <v>01</v>
      </c>
    </row>
    <row r="2810" spans="15:15" x14ac:dyDescent="0.25">
      <c r="O2810" s="55" t="str">
        <f t="shared" si="48"/>
        <v>01</v>
      </c>
    </row>
    <row r="2811" spans="15:15" x14ac:dyDescent="0.25">
      <c r="O2811" s="55" t="str">
        <f t="shared" si="48"/>
        <v>01</v>
      </c>
    </row>
    <row r="2812" spans="15:15" x14ac:dyDescent="0.25">
      <c r="O2812" s="55" t="str">
        <f t="shared" si="48"/>
        <v>01</v>
      </c>
    </row>
    <row r="2813" spans="15:15" x14ac:dyDescent="0.25">
      <c r="O2813" s="55" t="str">
        <f t="shared" si="48"/>
        <v>01</v>
      </c>
    </row>
    <row r="2814" spans="15:15" x14ac:dyDescent="0.25">
      <c r="O2814" s="55" t="str">
        <f t="shared" si="48"/>
        <v>01</v>
      </c>
    </row>
    <row r="2815" spans="15:15" x14ac:dyDescent="0.25">
      <c r="O2815" s="55" t="str">
        <f t="shared" si="48"/>
        <v>01</v>
      </c>
    </row>
    <row r="2816" spans="15:15" x14ac:dyDescent="0.25">
      <c r="O2816" s="55" t="str">
        <f t="shared" si="48"/>
        <v>01</v>
      </c>
    </row>
    <row r="2817" spans="15:15" x14ac:dyDescent="0.25">
      <c r="O2817" s="55" t="str">
        <f t="shared" si="48"/>
        <v>01</v>
      </c>
    </row>
    <row r="2818" spans="15:15" x14ac:dyDescent="0.25">
      <c r="O2818" s="55" t="str">
        <f t="shared" si="48"/>
        <v>01</v>
      </c>
    </row>
    <row r="2819" spans="15:15" x14ac:dyDescent="0.25">
      <c r="O2819" s="55" t="str">
        <f t="shared" si="48"/>
        <v>01</v>
      </c>
    </row>
    <row r="2820" spans="15:15" x14ac:dyDescent="0.25">
      <c r="O2820" s="55" t="str">
        <f t="shared" si="48"/>
        <v>01</v>
      </c>
    </row>
    <row r="2821" spans="15:15" x14ac:dyDescent="0.25">
      <c r="O2821" s="55" t="str">
        <f t="shared" si="48"/>
        <v>01</v>
      </c>
    </row>
    <row r="2822" spans="15:15" x14ac:dyDescent="0.25">
      <c r="O2822" s="55" t="str">
        <f t="shared" si="48"/>
        <v>01</v>
      </c>
    </row>
    <row r="2823" spans="15:15" x14ac:dyDescent="0.25">
      <c r="O2823" s="55" t="str">
        <f t="shared" si="48"/>
        <v>01</v>
      </c>
    </row>
    <row r="2824" spans="15:15" x14ac:dyDescent="0.25">
      <c r="O2824" s="55" t="str">
        <f t="shared" si="48"/>
        <v>01</v>
      </c>
    </row>
    <row r="2825" spans="15:15" x14ac:dyDescent="0.25">
      <c r="O2825" s="55" t="str">
        <f t="shared" si="48"/>
        <v>01</v>
      </c>
    </row>
    <row r="2826" spans="15:15" x14ac:dyDescent="0.25">
      <c r="O2826" s="55" t="str">
        <f t="shared" si="48"/>
        <v>01</v>
      </c>
    </row>
    <row r="2827" spans="15:15" x14ac:dyDescent="0.25">
      <c r="O2827" s="55" t="str">
        <f t="shared" si="48"/>
        <v>01</v>
      </c>
    </row>
    <row r="2828" spans="15:15" x14ac:dyDescent="0.25">
      <c r="O2828" s="55" t="str">
        <f t="shared" si="48"/>
        <v>01</v>
      </c>
    </row>
    <row r="2829" spans="15:15" x14ac:dyDescent="0.25">
      <c r="O2829" s="55" t="str">
        <f t="shared" si="48"/>
        <v>01</v>
      </c>
    </row>
    <row r="2830" spans="15:15" x14ac:dyDescent="0.25">
      <c r="O2830" s="55" t="str">
        <f t="shared" si="48"/>
        <v>01</v>
      </c>
    </row>
    <row r="2831" spans="15:15" x14ac:dyDescent="0.25">
      <c r="O2831" s="55" t="str">
        <f t="shared" si="48"/>
        <v>01</v>
      </c>
    </row>
    <row r="2832" spans="15:15" x14ac:dyDescent="0.25">
      <c r="O2832" s="55" t="str">
        <f t="shared" si="48"/>
        <v>01</v>
      </c>
    </row>
    <row r="2833" spans="15:15" x14ac:dyDescent="0.25">
      <c r="O2833" s="55" t="str">
        <f t="shared" si="48"/>
        <v>01</v>
      </c>
    </row>
    <row r="2834" spans="15:15" x14ac:dyDescent="0.25">
      <c r="O2834" s="55" t="str">
        <f t="shared" si="48"/>
        <v>01</v>
      </c>
    </row>
    <row r="2835" spans="15:15" x14ac:dyDescent="0.25">
      <c r="O2835" s="55" t="str">
        <f t="shared" si="48"/>
        <v>01</v>
      </c>
    </row>
    <row r="2836" spans="15:15" x14ac:dyDescent="0.25">
      <c r="O2836" s="55" t="str">
        <f t="shared" si="48"/>
        <v>01</v>
      </c>
    </row>
    <row r="2837" spans="15:15" x14ac:dyDescent="0.25">
      <c r="O2837" s="55" t="str">
        <f t="shared" si="48"/>
        <v>01</v>
      </c>
    </row>
    <row r="2838" spans="15:15" x14ac:dyDescent="0.25">
      <c r="O2838" s="55" t="str">
        <f t="shared" si="48"/>
        <v>01</v>
      </c>
    </row>
    <row r="2839" spans="15:15" x14ac:dyDescent="0.25">
      <c r="O2839" s="55" t="str">
        <f t="shared" si="48"/>
        <v>01</v>
      </c>
    </row>
    <row r="2840" spans="15:15" x14ac:dyDescent="0.25">
      <c r="O2840" s="55" t="str">
        <f t="shared" si="48"/>
        <v>01</v>
      </c>
    </row>
    <row r="2841" spans="15:15" x14ac:dyDescent="0.25">
      <c r="O2841" s="55" t="str">
        <f t="shared" si="48"/>
        <v>01</v>
      </c>
    </row>
    <row r="2842" spans="15:15" x14ac:dyDescent="0.25">
      <c r="O2842" s="55" t="str">
        <f t="shared" ref="O2842:O2905" si="49">+TEXT(H2842,"MM")</f>
        <v>01</v>
      </c>
    </row>
    <row r="2843" spans="15:15" x14ac:dyDescent="0.25">
      <c r="O2843" s="55" t="str">
        <f t="shared" si="49"/>
        <v>01</v>
      </c>
    </row>
    <row r="2844" spans="15:15" x14ac:dyDescent="0.25">
      <c r="O2844" s="55" t="str">
        <f t="shared" si="49"/>
        <v>01</v>
      </c>
    </row>
    <row r="2845" spans="15:15" x14ac:dyDescent="0.25">
      <c r="O2845" s="55" t="str">
        <f t="shared" si="49"/>
        <v>01</v>
      </c>
    </row>
    <row r="2846" spans="15:15" x14ac:dyDescent="0.25">
      <c r="O2846" s="55" t="str">
        <f t="shared" si="49"/>
        <v>01</v>
      </c>
    </row>
    <row r="2847" spans="15:15" x14ac:dyDescent="0.25">
      <c r="O2847" s="55" t="str">
        <f t="shared" si="49"/>
        <v>01</v>
      </c>
    </row>
    <row r="2848" spans="15:15" x14ac:dyDescent="0.25">
      <c r="O2848" s="55" t="str">
        <f t="shared" si="49"/>
        <v>01</v>
      </c>
    </row>
    <row r="2849" spans="15:15" x14ac:dyDescent="0.25">
      <c r="O2849" s="55" t="str">
        <f t="shared" si="49"/>
        <v>01</v>
      </c>
    </row>
    <row r="2850" spans="15:15" x14ac:dyDescent="0.25">
      <c r="O2850" s="55" t="str">
        <f t="shared" si="49"/>
        <v>01</v>
      </c>
    </row>
    <row r="2851" spans="15:15" x14ac:dyDescent="0.25">
      <c r="O2851" s="55" t="str">
        <f t="shared" si="49"/>
        <v>01</v>
      </c>
    </row>
    <row r="2852" spans="15:15" x14ac:dyDescent="0.25">
      <c r="O2852" s="55" t="str">
        <f t="shared" si="49"/>
        <v>01</v>
      </c>
    </row>
    <row r="2853" spans="15:15" x14ac:dyDescent="0.25">
      <c r="O2853" s="55" t="str">
        <f t="shared" si="49"/>
        <v>01</v>
      </c>
    </row>
    <row r="2854" spans="15:15" x14ac:dyDescent="0.25">
      <c r="O2854" s="55" t="str">
        <f t="shared" si="49"/>
        <v>01</v>
      </c>
    </row>
    <row r="2855" spans="15:15" x14ac:dyDescent="0.25">
      <c r="O2855" s="55" t="str">
        <f t="shared" si="49"/>
        <v>01</v>
      </c>
    </row>
    <row r="2856" spans="15:15" x14ac:dyDescent="0.25">
      <c r="O2856" s="55" t="str">
        <f t="shared" si="49"/>
        <v>01</v>
      </c>
    </row>
    <row r="2857" spans="15:15" x14ac:dyDescent="0.25">
      <c r="O2857" s="55" t="str">
        <f t="shared" si="49"/>
        <v>01</v>
      </c>
    </row>
    <row r="2858" spans="15:15" x14ac:dyDescent="0.25">
      <c r="O2858" s="55" t="str">
        <f t="shared" si="49"/>
        <v>01</v>
      </c>
    </row>
    <row r="2859" spans="15:15" x14ac:dyDescent="0.25">
      <c r="O2859" s="55" t="str">
        <f t="shared" si="49"/>
        <v>01</v>
      </c>
    </row>
    <row r="2860" spans="15:15" x14ac:dyDescent="0.25">
      <c r="O2860" s="55" t="str">
        <f t="shared" si="49"/>
        <v>01</v>
      </c>
    </row>
    <row r="2861" spans="15:15" x14ac:dyDescent="0.25">
      <c r="O2861" s="55" t="str">
        <f t="shared" si="49"/>
        <v>01</v>
      </c>
    </row>
    <row r="2862" spans="15:15" x14ac:dyDescent="0.25">
      <c r="O2862" s="55" t="str">
        <f t="shared" si="49"/>
        <v>01</v>
      </c>
    </row>
    <row r="2863" spans="15:15" x14ac:dyDescent="0.25">
      <c r="O2863" s="55" t="str">
        <f t="shared" si="49"/>
        <v>01</v>
      </c>
    </row>
    <row r="2864" spans="15:15" x14ac:dyDescent="0.25">
      <c r="O2864" s="55" t="str">
        <f t="shared" si="49"/>
        <v>01</v>
      </c>
    </row>
    <row r="2865" spans="15:15" x14ac:dyDescent="0.25">
      <c r="O2865" s="55" t="str">
        <f t="shared" si="49"/>
        <v>01</v>
      </c>
    </row>
    <row r="2866" spans="15:15" x14ac:dyDescent="0.25">
      <c r="O2866" s="55" t="str">
        <f t="shared" si="49"/>
        <v>01</v>
      </c>
    </row>
    <row r="2867" spans="15:15" x14ac:dyDescent="0.25">
      <c r="O2867" s="55" t="str">
        <f t="shared" si="49"/>
        <v>01</v>
      </c>
    </row>
    <row r="2868" spans="15:15" x14ac:dyDescent="0.25">
      <c r="O2868" s="55" t="str">
        <f t="shared" si="49"/>
        <v>01</v>
      </c>
    </row>
    <row r="2869" spans="15:15" x14ac:dyDescent="0.25">
      <c r="O2869" s="55" t="str">
        <f t="shared" si="49"/>
        <v>01</v>
      </c>
    </row>
    <row r="2870" spans="15:15" x14ac:dyDescent="0.25">
      <c r="O2870" s="55" t="str">
        <f t="shared" si="49"/>
        <v>01</v>
      </c>
    </row>
    <row r="2871" spans="15:15" x14ac:dyDescent="0.25">
      <c r="O2871" s="55" t="str">
        <f t="shared" si="49"/>
        <v>01</v>
      </c>
    </row>
    <row r="2872" spans="15:15" x14ac:dyDescent="0.25">
      <c r="O2872" s="55" t="str">
        <f t="shared" si="49"/>
        <v>01</v>
      </c>
    </row>
    <row r="2873" spans="15:15" x14ac:dyDescent="0.25">
      <c r="O2873" s="55" t="str">
        <f t="shared" si="49"/>
        <v>01</v>
      </c>
    </row>
    <row r="2874" spans="15:15" x14ac:dyDescent="0.25">
      <c r="O2874" s="55" t="str">
        <f t="shared" si="49"/>
        <v>01</v>
      </c>
    </row>
    <row r="2875" spans="15:15" x14ac:dyDescent="0.25">
      <c r="O2875" s="55" t="str">
        <f t="shared" si="49"/>
        <v>01</v>
      </c>
    </row>
    <row r="2876" spans="15:15" x14ac:dyDescent="0.25">
      <c r="O2876" s="55" t="str">
        <f t="shared" si="49"/>
        <v>01</v>
      </c>
    </row>
    <row r="2877" spans="15:15" x14ac:dyDescent="0.25">
      <c r="O2877" s="55" t="str">
        <f t="shared" si="49"/>
        <v>01</v>
      </c>
    </row>
    <row r="2878" spans="15:15" x14ac:dyDescent="0.25">
      <c r="O2878" s="55" t="str">
        <f t="shared" si="49"/>
        <v>01</v>
      </c>
    </row>
    <row r="2879" spans="15:15" x14ac:dyDescent="0.25">
      <c r="O2879" s="55" t="str">
        <f t="shared" si="49"/>
        <v>01</v>
      </c>
    </row>
    <row r="2880" spans="15:15" x14ac:dyDescent="0.25">
      <c r="O2880" s="55" t="str">
        <f t="shared" si="49"/>
        <v>01</v>
      </c>
    </row>
    <row r="2881" spans="15:15" x14ac:dyDescent="0.25">
      <c r="O2881" s="55" t="str">
        <f t="shared" si="49"/>
        <v>01</v>
      </c>
    </row>
    <row r="2882" spans="15:15" x14ac:dyDescent="0.25">
      <c r="O2882" s="55" t="str">
        <f t="shared" si="49"/>
        <v>01</v>
      </c>
    </row>
    <row r="2883" spans="15:15" x14ac:dyDescent="0.25">
      <c r="O2883" s="55" t="str">
        <f t="shared" si="49"/>
        <v>01</v>
      </c>
    </row>
    <row r="2884" spans="15:15" x14ac:dyDescent="0.25">
      <c r="O2884" s="55" t="str">
        <f t="shared" si="49"/>
        <v>01</v>
      </c>
    </row>
    <row r="2885" spans="15:15" x14ac:dyDescent="0.25">
      <c r="O2885" s="55" t="str">
        <f t="shared" si="49"/>
        <v>01</v>
      </c>
    </row>
    <row r="2886" spans="15:15" x14ac:dyDescent="0.25">
      <c r="O2886" s="55" t="str">
        <f t="shared" si="49"/>
        <v>01</v>
      </c>
    </row>
    <row r="2887" spans="15:15" x14ac:dyDescent="0.25">
      <c r="O2887" s="55" t="str">
        <f t="shared" si="49"/>
        <v>01</v>
      </c>
    </row>
    <row r="2888" spans="15:15" x14ac:dyDescent="0.25">
      <c r="O2888" s="55" t="str">
        <f t="shared" si="49"/>
        <v>01</v>
      </c>
    </row>
    <row r="2889" spans="15:15" x14ac:dyDescent="0.25">
      <c r="O2889" s="55" t="str">
        <f t="shared" si="49"/>
        <v>01</v>
      </c>
    </row>
    <row r="2890" spans="15:15" x14ac:dyDescent="0.25">
      <c r="O2890" s="55" t="str">
        <f t="shared" si="49"/>
        <v>01</v>
      </c>
    </row>
    <row r="2891" spans="15:15" x14ac:dyDescent="0.25">
      <c r="O2891" s="55" t="str">
        <f t="shared" si="49"/>
        <v>01</v>
      </c>
    </row>
    <row r="2892" spans="15:15" x14ac:dyDescent="0.25">
      <c r="O2892" s="55" t="str">
        <f t="shared" si="49"/>
        <v>01</v>
      </c>
    </row>
    <row r="2893" spans="15:15" x14ac:dyDescent="0.25">
      <c r="O2893" s="55" t="str">
        <f t="shared" si="49"/>
        <v>01</v>
      </c>
    </row>
    <row r="2894" spans="15:15" x14ac:dyDescent="0.25">
      <c r="O2894" s="55" t="str">
        <f t="shared" si="49"/>
        <v>01</v>
      </c>
    </row>
    <row r="2895" spans="15:15" x14ac:dyDescent="0.25">
      <c r="O2895" s="55" t="str">
        <f t="shared" si="49"/>
        <v>01</v>
      </c>
    </row>
    <row r="2896" spans="15:15" x14ac:dyDescent="0.25">
      <c r="O2896" s="55" t="str">
        <f t="shared" si="49"/>
        <v>01</v>
      </c>
    </row>
    <row r="2897" spans="15:15" x14ac:dyDescent="0.25">
      <c r="O2897" s="55" t="str">
        <f t="shared" si="49"/>
        <v>01</v>
      </c>
    </row>
    <row r="2898" spans="15:15" x14ac:dyDescent="0.25">
      <c r="O2898" s="55" t="str">
        <f t="shared" si="49"/>
        <v>01</v>
      </c>
    </row>
    <row r="2899" spans="15:15" x14ac:dyDescent="0.25">
      <c r="O2899" s="55" t="str">
        <f t="shared" si="49"/>
        <v>01</v>
      </c>
    </row>
    <row r="2900" spans="15:15" x14ac:dyDescent="0.25">
      <c r="O2900" s="55" t="str">
        <f t="shared" si="49"/>
        <v>01</v>
      </c>
    </row>
    <row r="2901" spans="15:15" x14ac:dyDescent="0.25">
      <c r="O2901" s="55" t="str">
        <f t="shared" si="49"/>
        <v>01</v>
      </c>
    </row>
    <row r="2902" spans="15:15" x14ac:dyDescent="0.25">
      <c r="O2902" s="55" t="str">
        <f t="shared" si="49"/>
        <v>01</v>
      </c>
    </row>
    <row r="2903" spans="15:15" x14ac:dyDescent="0.25">
      <c r="O2903" s="55" t="str">
        <f t="shared" si="49"/>
        <v>01</v>
      </c>
    </row>
    <row r="2904" spans="15:15" x14ac:dyDescent="0.25">
      <c r="O2904" s="55" t="str">
        <f t="shared" si="49"/>
        <v>01</v>
      </c>
    </row>
    <row r="2905" spans="15:15" x14ac:dyDescent="0.25">
      <c r="O2905" s="55" t="str">
        <f t="shared" si="49"/>
        <v>01</v>
      </c>
    </row>
    <row r="2906" spans="15:15" x14ac:dyDescent="0.25">
      <c r="O2906" s="55" t="str">
        <f t="shared" ref="O2906:O2969" si="50">+TEXT(H2906,"MM")</f>
        <v>01</v>
      </c>
    </row>
    <row r="2907" spans="15:15" x14ac:dyDescent="0.25">
      <c r="O2907" s="55" t="str">
        <f t="shared" si="50"/>
        <v>01</v>
      </c>
    </row>
    <row r="2908" spans="15:15" x14ac:dyDescent="0.25">
      <c r="O2908" s="55" t="str">
        <f t="shared" si="50"/>
        <v>01</v>
      </c>
    </row>
    <row r="2909" spans="15:15" x14ac:dyDescent="0.25">
      <c r="O2909" s="55" t="str">
        <f t="shared" si="50"/>
        <v>01</v>
      </c>
    </row>
    <row r="2910" spans="15:15" x14ac:dyDescent="0.25">
      <c r="O2910" s="55" t="str">
        <f t="shared" si="50"/>
        <v>01</v>
      </c>
    </row>
    <row r="2911" spans="15:15" x14ac:dyDescent="0.25">
      <c r="O2911" s="55" t="str">
        <f t="shared" si="50"/>
        <v>01</v>
      </c>
    </row>
    <row r="2912" spans="15:15" x14ac:dyDescent="0.25">
      <c r="O2912" s="55" t="str">
        <f t="shared" si="50"/>
        <v>01</v>
      </c>
    </row>
    <row r="2913" spans="15:15" x14ac:dyDescent="0.25">
      <c r="O2913" s="55" t="str">
        <f t="shared" si="50"/>
        <v>01</v>
      </c>
    </row>
    <row r="2914" spans="15:15" x14ac:dyDescent="0.25">
      <c r="O2914" s="55" t="str">
        <f t="shared" si="50"/>
        <v>01</v>
      </c>
    </row>
    <row r="2915" spans="15:15" x14ac:dyDescent="0.25">
      <c r="O2915" s="55" t="str">
        <f t="shared" si="50"/>
        <v>01</v>
      </c>
    </row>
    <row r="2916" spans="15:15" x14ac:dyDescent="0.25">
      <c r="O2916" s="55" t="str">
        <f t="shared" si="50"/>
        <v>01</v>
      </c>
    </row>
    <row r="2917" spans="15:15" x14ac:dyDescent="0.25">
      <c r="O2917" s="55" t="str">
        <f t="shared" si="50"/>
        <v>01</v>
      </c>
    </row>
    <row r="2918" spans="15:15" x14ac:dyDescent="0.25">
      <c r="O2918" s="55" t="str">
        <f t="shared" si="50"/>
        <v>01</v>
      </c>
    </row>
    <row r="2919" spans="15:15" x14ac:dyDescent="0.25">
      <c r="O2919" s="55" t="str">
        <f t="shared" si="50"/>
        <v>01</v>
      </c>
    </row>
    <row r="2920" spans="15:15" x14ac:dyDescent="0.25">
      <c r="O2920" s="55" t="str">
        <f t="shared" si="50"/>
        <v>01</v>
      </c>
    </row>
    <row r="2921" spans="15:15" x14ac:dyDescent="0.25">
      <c r="O2921" s="55" t="str">
        <f t="shared" si="50"/>
        <v>01</v>
      </c>
    </row>
    <row r="2922" spans="15:15" x14ac:dyDescent="0.25">
      <c r="O2922" s="55" t="str">
        <f t="shared" si="50"/>
        <v>01</v>
      </c>
    </row>
    <row r="2923" spans="15:15" x14ac:dyDescent="0.25">
      <c r="O2923" s="55" t="str">
        <f t="shared" si="50"/>
        <v>01</v>
      </c>
    </row>
    <row r="2924" spans="15:15" x14ac:dyDescent="0.25">
      <c r="O2924" s="55" t="str">
        <f t="shared" si="50"/>
        <v>01</v>
      </c>
    </row>
    <row r="2925" spans="15:15" x14ac:dyDescent="0.25">
      <c r="O2925" s="55" t="str">
        <f t="shared" si="50"/>
        <v>01</v>
      </c>
    </row>
    <row r="2926" spans="15:15" x14ac:dyDescent="0.25">
      <c r="O2926" s="55" t="str">
        <f t="shared" si="50"/>
        <v>01</v>
      </c>
    </row>
    <row r="2927" spans="15:15" x14ac:dyDescent="0.25">
      <c r="O2927" s="55" t="str">
        <f t="shared" si="50"/>
        <v>01</v>
      </c>
    </row>
    <row r="2928" spans="15:15" x14ac:dyDescent="0.25">
      <c r="O2928" s="55" t="str">
        <f t="shared" si="50"/>
        <v>01</v>
      </c>
    </row>
    <row r="2929" spans="15:15" x14ac:dyDescent="0.25">
      <c r="O2929" s="55" t="str">
        <f t="shared" si="50"/>
        <v>01</v>
      </c>
    </row>
    <row r="2930" spans="15:15" x14ac:dyDescent="0.25">
      <c r="O2930" s="55" t="str">
        <f t="shared" si="50"/>
        <v>01</v>
      </c>
    </row>
    <row r="2931" spans="15:15" x14ac:dyDescent="0.25">
      <c r="O2931" s="55" t="str">
        <f t="shared" si="50"/>
        <v>01</v>
      </c>
    </row>
    <row r="2932" spans="15:15" x14ac:dyDescent="0.25">
      <c r="O2932" s="55" t="str">
        <f t="shared" si="50"/>
        <v>01</v>
      </c>
    </row>
    <row r="2933" spans="15:15" x14ac:dyDescent="0.25">
      <c r="O2933" s="55" t="str">
        <f t="shared" si="50"/>
        <v>01</v>
      </c>
    </row>
    <row r="2934" spans="15:15" x14ac:dyDescent="0.25">
      <c r="O2934" s="55" t="str">
        <f t="shared" si="50"/>
        <v>01</v>
      </c>
    </row>
    <row r="2935" spans="15:15" x14ac:dyDescent="0.25">
      <c r="O2935" s="55" t="str">
        <f t="shared" si="50"/>
        <v>01</v>
      </c>
    </row>
    <row r="2936" spans="15:15" x14ac:dyDescent="0.25">
      <c r="O2936" s="55" t="str">
        <f t="shared" si="50"/>
        <v>01</v>
      </c>
    </row>
    <row r="2937" spans="15:15" x14ac:dyDescent="0.25">
      <c r="O2937" s="55" t="str">
        <f t="shared" si="50"/>
        <v>01</v>
      </c>
    </row>
    <row r="2938" spans="15:15" x14ac:dyDescent="0.25">
      <c r="O2938" s="55" t="str">
        <f t="shared" si="50"/>
        <v>01</v>
      </c>
    </row>
    <row r="2939" spans="15:15" x14ac:dyDescent="0.25">
      <c r="O2939" s="55" t="str">
        <f t="shared" si="50"/>
        <v>01</v>
      </c>
    </row>
    <row r="2940" spans="15:15" x14ac:dyDescent="0.25">
      <c r="O2940" s="55" t="str">
        <f t="shared" si="50"/>
        <v>01</v>
      </c>
    </row>
    <row r="2941" spans="15:15" x14ac:dyDescent="0.25">
      <c r="O2941" s="55" t="str">
        <f t="shared" si="50"/>
        <v>01</v>
      </c>
    </row>
    <row r="2942" spans="15:15" x14ac:dyDescent="0.25">
      <c r="O2942" s="55" t="str">
        <f t="shared" si="50"/>
        <v>01</v>
      </c>
    </row>
    <row r="2943" spans="15:15" x14ac:dyDescent="0.25">
      <c r="O2943" s="55" t="str">
        <f t="shared" si="50"/>
        <v>01</v>
      </c>
    </row>
    <row r="2944" spans="15:15" x14ac:dyDescent="0.25">
      <c r="O2944" s="55" t="str">
        <f t="shared" si="50"/>
        <v>01</v>
      </c>
    </row>
    <row r="2945" spans="15:15" x14ac:dyDescent="0.25">
      <c r="O2945" s="55" t="str">
        <f t="shared" si="50"/>
        <v>01</v>
      </c>
    </row>
    <row r="2946" spans="15:15" x14ac:dyDescent="0.25">
      <c r="O2946" s="55" t="str">
        <f t="shared" si="50"/>
        <v>01</v>
      </c>
    </row>
    <row r="2947" spans="15:15" x14ac:dyDescent="0.25">
      <c r="O2947" s="55" t="str">
        <f t="shared" si="50"/>
        <v>01</v>
      </c>
    </row>
    <row r="2948" spans="15:15" x14ac:dyDescent="0.25">
      <c r="O2948" s="55" t="str">
        <f t="shared" si="50"/>
        <v>01</v>
      </c>
    </row>
    <row r="2949" spans="15:15" x14ac:dyDescent="0.25">
      <c r="O2949" s="55" t="str">
        <f t="shared" si="50"/>
        <v>01</v>
      </c>
    </row>
    <row r="2950" spans="15:15" x14ac:dyDescent="0.25">
      <c r="O2950" s="55" t="str">
        <f t="shared" si="50"/>
        <v>01</v>
      </c>
    </row>
    <row r="2951" spans="15:15" x14ac:dyDescent="0.25">
      <c r="O2951" s="55" t="str">
        <f t="shared" si="50"/>
        <v>01</v>
      </c>
    </row>
    <row r="2952" spans="15:15" x14ac:dyDescent="0.25">
      <c r="O2952" s="55" t="str">
        <f t="shared" si="50"/>
        <v>01</v>
      </c>
    </row>
    <row r="2953" spans="15:15" x14ac:dyDescent="0.25">
      <c r="O2953" s="55" t="str">
        <f t="shared" si="50"/>
        <v>01</v>
      </c>
    </row>
    <row r="2954" spans="15:15" x14ac:dyDescent="0.25">
      <c r="O2954" s="55" t="str">
        <f t="shared" si="50"/>
        <v>01</v>
      </c>
    </row>
    <row r="2955" spans="15:15" x14ac:dyDescent="0.25">
      <c r="O2955" s="55" t="str">
        <f t="shared" si="50"/>
        <v>01</v>
      </c>
    </row>
    <row r="2956" spans="15:15" x14ac:dyDescent="0.25">
      <c r="O2956" s="55" t="str">
        <f t="shared" si="50"/>
        <v>01</v>
      </c>
    </row>
    <row r="2957" spans="15:15" x14ac:dyDescent="0.25">
      <c r="O2957" s="55" t="str">
        <f t="shared" si="50"/>
        <v>01</v>
      </c>
    </row>
    <row r="2958" spans="15:15" x14ac:dyDescent="0.25">
      <c r="O2958" s="55" t="str">
        <f t="shared" si="50"/>
        <v>01</v>
      </c>
    </row>
    <row r="2959" spans="15:15" x14ac:dyDescent="0.25">
      <c r="O2959" s="55" t="str">
        <f t="shared" si="50"/>
        <v>01</v>
      </c>
    </row>
    <row r="2960" spans="15:15" x14ac:dyDescent="0.25">
      <c r="O2960" s="55" t="str">
        <f t="shared" si="50"/>
        <v>01</v>
      </c>
    </row>
    <row r="2961" spans="15:15" x14ac:dyDescent="0.25">
      <c r="O2961" s="55" t="str">
        <f t="shared" si="50"/>
        <v>01</v>
      </c>
    </row>
    <row r="2962" spans="15:15" x14ac:dyDescent="0.25">
      <c r="O2962" s="55" t="str">
        <f t="shared" si="50"/>
        <v>01</v>
      </c>
    </row>
    <row r="2963" spans="15:15" x14ac:dyDescent="0.25">
      <c r="O2963" s="55" t="str">
        <f t="shared" si="50"/>
        <v>01</v>
      </c>
    </row>
    <row r="2964" spans="15:15" x14ac:dyDescent="0.25">
      <c r="O2964" s="55" t="str">
        <f t="shared" si="50"/>
        <v>01</v>
      </c>
    </row>
    <row r="2965" spans="15:15" x14ac:dyDescent="0.25">
      <c r="O2965" s="55" t="str">
        <f t="shared" si="50"/>
        <v>01</v>
      </c>
    </row>
    <row r="2966" spans="15:15" x14ac:dyDescent="0.25">
      <c r="O2966" s="55" t="str">
        <f t="shared" si="50"/>
        <v>01</v>
      </c>
    </row>
    <row r="2967" spans="15:15" x14ac:dyDescent="0.25">
      <c r="O2967" s="55" t="str">
        <f t="shared" si="50"/>
        <v>01</v>
      </c>
    </row>
    <row r="2968" spans="15:15" x14ac:dyDescent="0.25">
      <c r="O2968" s="55" t="str">
        <f t="shared" si="50"/>
        <v>01</v>
      </c>
    </row>
    <row r="2969" spans="15:15" x14ac:dyDescent="0.25">
      <c r="O2969" s="55" t="str">
        <f t="shared" si="50"/>
        <v>01</v>
      </c>
    </row>
    <row r="2970" spans="15:15" x14ac:dyDescent="0.25">
      <c r="O2970" s="55" t="str">
        <f t="shared" ref="O2970:O3033" si="51">+TEXT(H2970,"MM")</f>
        <v>01</v>
      </c>
    </row>
    <row r="2971" spans="15:15" x14ac:dyDescent="0.25">
      <c r="O2971" s="55" t="str">
        <f t="shared" si="51"/>
        <v>01</v>
      </c>
    </row>
    <row r="2972" spans="15:15" x14ac:dyDescent="0.25">
      <c r="O2972" s="55" t="str">
        <f t="shared" si="51"/>
        <v>01</v>
      </c>
    </row>
    <row r="2973" spans="15:15" x14ac:dyDescent="0.25">
      <c r="O2973" s="55" t="str">
        <f t="shared" si="51"/>
        <v>01</v>
      </c>
    </row>
    <row r="2974" spans="15:15" x14ac:dyDescent="0.25">
      <c r="O2974" s="55" t="str">
        <f t="shared" si="51"/>
        <v>01</v>
      </c>
    </row>
    <row r="2975" spans="15:15" x14ac:dyDescent="0.25">
      <c r="O2975" s="55" t="str">
        <f t="shared" si="51"/>
        <v>01</v>
      </c>
    </row>
    <row r="2976" spans="15:15" x14ac:dyDescent="0.25">
      <c r="O2976" s="55" t="str">
        <f t="shared" si="51"/>
        <v>01</v>
      </c>
    </row>
    <row r="2977" spans="15:15" x14ac:dyDescent="0.25">
      <c r="O2977" s="55" t="str">
        <f t="shared" si="51"/>
        <v>01</v>
      </c>
    </row>
    <row r="2978" spans="15:15" x14ac:dyDescent="0.25">
      <c r="O2978" s="55" t="str">
        <f t="shared" si="51"/>
        <v>01</v>
      </c>
    </row>
    <row r="2979" spans="15:15" x14ac:dyDescent="0.25">
      <c r="O2979" s="55" t="str">
        <f t="shared" si="51"/>
        <v>01</v>
      </c>
    </row>
    <row r="2980" spans="15:15" x14ac:dyDescent="0.25">
      <c r="O2980" s="55" t="str">
        <f t="shared" si="51"/>
        <v>01</v>
      </c>
    </row>
    <row r="2981" spans="15:15" x14ac:dyDescent="0.25">
      <c r="O2981" s="55" t="str">
        <f t="shared" si="51"/>
        <v>01</v>
      </c>
    </row>
    <row r="2982" spans="15:15" x14ac:dyDescent="0.25">
      <c r="O2982" s="55" t="str">
        <f t="shared" si="51"/>
        <v>01</v>
      </c>
    </row>
    <row r="2983" spans="15:15" x14ac:dyDescent="0.25">
      <c r="O2983" s="55" t="str">
        <f t="shared" si="51"/>
        <v>01</v>
      </c>
    </row>
    <row r="2984" spans="15:15" x14ac:dyDescent="0.25">
      <c r="O2984" s="55" t="str">
        <f t="shared" si="51"/>
        <v>01</v>
      </c>
    </row>
    <row r="2985" spans="15:15" x14ac:dyDescent="0.25">
      <c r="O2985" s="55" t="str">
        <f t="shared" si="51"/>
        <v>01</v>
      </c>
    </row>
    <row r="2986" spans="15:15" x14ac:dyDescent="0.25">
      <c r="O2986" s="55" t="str">
        <f t="shared" si="51"/>
        <v>01</v>
      </c>
    </row>
    <row r="2987" spans="15:15" x14ac:dyDescent="0.25">
      <c r="O2987" s="55" t="str">
        <f t="shared" si="51"/>
        <v>01</v>
      </c>
    </row>
    <row r="2988" spans="15:15" x14ac:dyDescent="0.25">
      <c r="O2988" s="55" t="str">
        <f t="shared" si="51"/>
        <v>01</v>
      </c>
    </row>
    <row r="2989" spans="15:15" x14ac:dyDescent="0.25">
      <c r="O2989" s="55" t="str">
        <f t="shared" si="51"/>
        <v>01</v>
      </c>
    </row>
    <row r="2990" spans="15:15" x14ac:dyDescent="0.25">
      <c r="O2990" s="55" t="str">
        <f t="shared" si="51"/>
        <v>01</v>
      </c>
    </row>
    <row r="2991" spans="15:15" x14ac:dyDescent="0.25">
      <c r="O2991" s="55" t="str">
        <f t="shared" si="51"/>
        <v>01</v>
      </c>
    </row>
    <row r="2992" spans="15:15" x14ac:dyDescent="0.25">
      <c r="O2992" s="55" t="str">
        <f t="shared" si="51"/>
        <v>01</v>
      </c>
    </row>
    <row r="2993" spans="15:15" x14ac:dyDescent="0.25">
      <c r="O2993" s="55" t="str">
        <f t="shared" si="51"/>
        <v>01</v>
      </c>
    </row>
    <row r="2994" spans="15:15" x14ac:dyDescent="0.25">
      <c r="O2994" s="55" t="str">
        <f t="shared" si="51"/>
        <v>01</v>
      </c>
    </row>
    <row r="2995" spans="15:15" x14ac:dyDescent="0.25">
      <c r="O2995" s="55" t="str">
        <f t="shared" si="51"/>
        <v>01</v>
      </c>
    </row>
    <row r="2996" spans="15:15" x14ac:dyDescent="0.25">
      <c r="O2996" s="55" t="str">
        <f t="shared" si="51"/>
        <v>01</v>
      </c>
    </row>
    <row r="2997" spans="15:15" x14ac:dyDescent="0.25">
      <c r="O2997" s="55" t="str">
        <f t="shared" si="51"/>
        <v>01</v>
      </c>
    </row>
    <row r="2998" spans="15:15" x14ac:dyDescent="0.25">
      <c r="O2998" s="55" t="str">
        <f t="shared" si="51"/>
        <v>01</v>
      </c>
    </row>
    <row r="2999" spans="15:15" x14ac:dyDescent="0.25">
      <c r="O2999" s="55" t="str">
        <f t="shared" si="51"/>
        <v>01</v>
      </c>
    </row>
    <row r="3000" spans="15:15" x14ac:dyDescent="0.25">
      <c r="O3000" s="55" t="str">
        <f t="shared" si="51"/>
        <v>01</v>
      </c>
    </row>
    <row r="3001" spans="15:15" x14ac:dyDescent="0.25">
      <c r="O3001" s="55" t="str">
        <f t="shared" si="51"/>
        <v>01</v>
      </c>
    </row>
    <row r="3002" spans="15:15" x14ac:dyDescent="0.25">
      <c r="O3002" s="55" t="str">
        <f t="shared" si="51"/>
        <v>01</v>
      </c>
    </row>
    <row r="3003" spans="15:15" x14ac:dyDescent="0.25">
      <c r="O3003" s="55" t="str">
        <f t="shared" si="51"/>
        <v>01</v>
      </c>
    </row>
    <row r="3004" spans="15:15" x14ac:dyDescent="0.25">
      <c r="O3004" s="55" t="str">
        <f t="shared" si="51"/>
        <v>01</v>
      </c>
    </row>
    <row r="3005" spans="15:15" x14ac:dyDescent="0.25">
      <c r="O3005" s="55" t="str">
        <f t="shared" si="51"/>
        <v>01</v>
      </c>
    </row>
    <row r="3006" spans="15:15" x14ac:dyDescent="0.25">
      <c r="O3006" s="55" t="str">
        <f t="shared" si="51"/>
        <v>01</v>
      </c>
    </row>
    <row r="3007" spans="15:15" x14ac:dyDescent="0.25">
      <c r="O3007" s="55" t="str">
        <f t="shared" si="51"/>
        <v>01</v>
      </c>
    </row>
    <row r="3008" spans="15:15" x14ac:dyDescent="0.25">
      <c r="O3008" s="55" t="str">
        <f t="shared" si="51"/>
        <v>01</v>
      </c>
    </row>
    <row r="3009" spans="15:15" x14ac:dyDescent="0.25">
      <c r="O3009" s="55" t="str">
        <f t="shared" si="51"/>
        <v>01</v>
      </c>
    </row>
    <row r="3010" spans="15:15" x14ac:dyDescent="0.25">
      <c r="O3010" s="55" t="str">
        <f t="shared" si="51"/>
        <v>01</v>
      </c>
    </row>
    <row r="3011" spans="15:15" x14ac:dyDescent="0.25">
      <c r="O3011" s="55" t="str">
        <f t="shared" si="51"/>
        <v>01</v>
      </c>
    </row>
    <row r="3012" spans="15:15" x14ac:dyDescent="0.25">
      <c r="O3012" s="55" t="str">
        <f t="shared" si="51"/>
        <v>01</v>
      </c>
    </row>
    <row r="3013" spans="15:15" x14ac:dyDescent="0.25">
      <c r="O3013" s="55" t="str">
        <f t="shared" si="51"/>
        <v>01</v>
      </c>
    </row>
    <row r="3014" spans="15:15" x14ac:dyDescent="0.25">
      <c r="O3014" s="55" t="str">
        <f t="shared" si="51"/>
        <v>01</v>
      </c>
    </row>
    <row r="3015" spans="15:15" x14ac:dyDescent="0.25">
      <c r="O3015" s="55" t="str">
        <f t="shared" si="51"/>
        <v>01</v>
      </c>
    </row>
    <row r="3016" spans="15:15" x14ac:dyDescent="0.25">
      <c r="O3016" s="55" t="str">
        <f t="shared" si="51"/>
        <v>01</v>
      </c>
    </row>
    <row r="3017" spans="15:15" x14ac:dyDescent="0.25">
      <c r="O3017" s="55" t="str">
        <f t="shared" si="51"/>
        <v>01</v>
      </c>
    </row>
    <row r="3018" spans="15:15" x14ac:dyDescent="0.25">
      <c r="O3018" s="55" t="str">
        <f t="shared" si="51"/>
        <v>01</v>
      </c>
    </row>
    <row r="3019" spans="15:15" x14ac:dyDescent="0.25">
      <c r="O3019" s="55" t="str">
        <f t="shared" si="51"/>
        <v>01</v>
      </c>
    </row>
    <row r="3020" spans="15:15" x14ac:dyDescent="0.25">
      <c r="O3020" s="55" t="str">
        <f t="shared" si="51"/>
        <v>01</v>
      </c>
    </row>
    <row r="3021" spans="15:15" x14ac:dyDescent="0.25">
      <c r="O3021" s="55" t="str">
        <f t="shared" si="51"/>
        <v>01</v>
      </c>
    </row>
    <row r="3022" spans="15:15" x14ac:dyDescent="0.25">
      <c r="O3022" s="55" t="str">
        <f t="shared" si="51"/>
        <v>01</v>
      </c>
    </row>
    <row r="3023" spans="15:15" x14ac:dyDescent="0.25">
      <c r="O3023" s="55" t="str">
        <f t="shared" si="51"/>
        <v>01</v>
      </c>
    </row>
    <row r="3024" spans="15:15" x14ac:dyDescent="0.25">
      <c r="O3024" s="55" t="str">
        <f t="shared" si="51"/>
        <v>01</v>
      </c>
    </row>
    <row r="3025" spans="15:15" x14ac:dyDescent="0.25">
      <c r="O3025" s="55" t="str">
        <f t="shared" si="51"/>
        <v>01</v>
      </c>
    </row>
    <row r="3026" spans="15:15" x14ac:dyDescent="0.25">
      <c r="O3026" s="55" t="str">
        <f t="shared" si="51"/>
        <v>01</v>
      </c>
    </row>
    <row r="3027" spans="15:15" x14ac:dyDescent="0.25">
      <c r="O3027" s="55" t="str">
        <f t="shared" si="51"/>
        <v>01</v>
      </c>
    </row>
    <row r="3028" spans="15:15" x14ac:dyDescent="0.25">
      <c r="O3028" s="55" t="str">
        <f t="shared" si="51"/>
        <v>01</v>
      </c>
    </row>
    <row r="3029" spans="15:15" x14ac:dyDescent="0.25">
      <c r="O3029" s="55" t="str">
        <f t="shared" si="51"/>
        <v>01</v>
      </c>
    </row>
    <row r="3030" spans="15:15" x14ac:dyDescent="0.25">
      <c r="O3030" s="55" t="str">
        <f t="shared" si="51"/>
        <v>01</v>
      </c>
    </row>
    <row r="3031" spans="15:15" x14ac:dyDescent="0.25">
      <c r="O3031" s="55" t="str">
        <f t="shared" si="51"/>
        <v>01</v>
      </c>
    </row>
    <row r="3032" spans="15:15" x14ac:dyDescent="0.25">
      <c r="O3032" s="55" t="str">
        <f t="shared" si="51"/>
        <v>01</v>
      </c>
    </row>
    <row r="3033" spans="15:15" x14ac:dyDescent="0.25">
      <c r="O3033" s="55" t="str">
        <f t="shared" si="51"/>
        <v>01</v>
      </c>
    </row>
    <row r="3034" spans="15:15" x14ac:dyDescent="0.25">
      <c r="O3034" s="55" t="str">
        <f t="shared" ref="O3034:O3097" si="52">+TEXT(H3034,"MM")</f>
        <v>01</v>
      </c>
    </row>
    <row r="3035" spans="15:15" x14ac:dyDescent="0.25">
      <c r="O3035" s="55" t="str">
        <f t="shared" si="52"/>
        <v>01</v>
      </c>
    </row>
    <row r="3036" spans="15:15" x14ac:dyDescent="0.25">
      <c r="O3036" s="55" t="str">
        <f t="shared" si="52"/>
        <v>01</v>
      </c>
    </row>
    <row r="3037" spans="15:15" x14ac:dyDescent="0.25">
      <c r="O3037" s="55" t="str">
        <f t="shared" si="52"/>
        <v>01</v>
      </c>
    </row>
    <row r="3038" spans="15:15" x14ac:dyDescent="0.25">
      <c r="O3038" s="55" t="str">
        <f t="shared" si="52"/>
        <v>01</v>
      </c>
    </row>
    <row r="3039" spans="15:15" x14ac:dyDescent="0.25">
      <c r="O3039" s="55" t="str">
        <f t="shared" si="52"/>
        <v>01</v>
      </c>
    </row>
    <row r="3040" spans="15:15" x14ac:dyDescent="0.25">
      <c r="O3040" s="55" t="str">
        <f t="shared" si="52"/>
        <v>01</v>
      </c>
    </row>
    <row r="3041" spans="15:15" x14ac:dyDescent="0.25">
      <c r="O3041" s="55" t="str">
        <f t="shared" si="52"/>
        <v>01</v>
      </c>
    </row>
    <row r="3042" spans="15:15" x14ac:dyDescent="0.25">
      <c r="O3042" s="55" t="str">
        <f t="shared" si="52"/>
        <v>01</v>
      </c>
    </row>
    <row r="3043" spans="15:15" x14ac:dyDescent="0.25">
      <c r="O3043" s="55" t="str">
        <f t="shared" si="52"/>
        <v>01</v>
      </c>
    </row>
    <row r="3044" spans="15:15" x14ac:dyDescent="0.25">
      <c r="O3044" s="55" t="str">
        <f t="shared" si="52"/>
        <v>01</v>
      </c>
    </row>
    <row r="3045" spans="15:15" x14ac:dyDescent="0.25">
      <c r="O3045" s="55" t="str">
        <f t="shared" si="52"/>
        <v>01</v>
      </c>
    </row>
    <row r="3046" spans="15:15" x14ac:dyDescent="0.25">
      <c r="O3046" s="55" t="str">
        <f t="shared" si="52"/>
        <v>01</v>
      </c>
    </row>
    <row r="3047" spans="15:15" x14ac:dyDescent="0.25">
      <c r="O3047" s="55" t="str">
        <f t="shared" si="52"/>
        <v>01</v>
      </c>
    </row>
    <row r="3048" spans="15:15" x14ac:dyDescent="0.25">
      <c r="O3048" s="55" t="str">
        <f t="shared" si="52"/>
        <v>01</v>
      </c>
    </row>
    <row r="3049" spans="15:15" x14ac:dyDescent="0.25">
      <c r="O3049" s="55" t="str">
        <f t="shared" si="52"/>
        <v>01</v>
      </c>
    </row>
    <row r="3050" spans="15:15" x14ac:dyDescent="0.25">
      <c r="O3050" s="55" t="str">
        <f t="shared" si="52"/>
        <v>01</v>
      </c>
    </row>
    <row r="3051" spans="15:15" x14ac:dyDescent="0.25">
      <c r="O3051" s="55" t="str">
        <f t="shared" si="52"/>
        <v>01</v>
      </c>
    </row>
    <row r="3052" spans="15:15" x14ac:dyDescent="0.25">
      <c r="O3052" s="55" t="str">
        <f t="shared" si="52"/>
        <v>01</v>
      </c>
    </row>
    <row r="3053" spans="15:15" x14ac:dyDescent="0.25">
      <c r="O3053" s="55" t="str">
        <f t="shared" si="52"/>
        <v>01</v>
      </c>
    </row>
    <row r="3054" spans="15:15" x14ac:dyDescent="0.25">
      <c r="O3054" s="55" t="str">
        <f t="shared" si="52"/>
        <v>01</v>
      </c>
    </row>
    <row r="3055" spans="15:15" x14ac:dyDescent="0.25">
      <c r="O3055" s="55" t="str">
        <f t="shared" si="52"/>
        <v>01</v>
      </c>
    </row>
    <row r="3056" spans="15:15" x14ac:dyDescent="0.25">
      <c r="O3056" s="55" t="str">
        <f t="shared" si="52"/>
        <v>01</v>
      </c>
    </row>
    <row r="3057" spans="15:15" x14ac:dyDescent="0.25">
      <c r="O3057" s="55" t="str">
        <f t="shared" si="52"/>
        <v>01</v>
      </c>
    </row>
    <row r="3058" spans="15:15" x14ac:dyDescent="0.25">
      <c r="O3058" s="55" t="str">
        <f t="shared" si="52"/>
        <v>01</v>
      </c>
    </row>
    <row r="3059" spans="15:15" x14ac:dyDescent="0.25">
      <c r="O3059" s="55" t="str">
        <f t="shared" si="52"/>
        <v>01</v>
      </c>
    </row>
    <row r="3060" spans="15:15" x14ac:dyDescent="0.25">
      <c r="O3060" s="55" t="str">
        <f t="shared" si="52"/>
        <v>01</v>
      </c>
    </row>
    <row r="3061" spans="15:15" x14ac:dyDescent="0.25">
      <c r="O3061" s="55" t="str">
        <f t="shared" si="52"/>
        <v>01</v>
      </c>
    </row>
    <row r="3062" spans="15:15" x14ac:dyDescent="0.25">
      <c r="O3062" s="55" t="str">
        <f t="shared" si="52"/>
        <v>01</v>
      </c>
    </row>
    <row r="3063" spans="15:15" x14ac:dyDescent="0.25">
      <c r="O3063" s="55" t="str">
        <f t="shared" si="52"/>
        <v>01</v>
      </c>
    </row>
    <row r="3064" spans="15:15" x14ac:dyDescent="0.25">
      <c r="O3064" s="55" t="str">
        <f t="shared" si="52"/>
        <v>01</v>
      </c>
    </row>
    <row r="3065" spans="15:15" x14ac:dyDescent="0.25">
      <c r="O3065" s="55" t="str">
        <f t="shared" si="52"/>
        <v>01</v>
      </c>
    </row>
    <row r="3066" spans="15:15" x14ac:dyDescent="0.25">
      <c r="O3066" s="55" t="str">
        <f t="shared" si="52"/>
        <v>01</v>
      </c>
    </row>
    <row r="3067" spans="15:15" x14ac:dyDescent="0.25">
      <c r="O3067" s="55" t="str">
        <f t="shared" si="52"/>
        <v>01</v>
      </c>
    </row>
    <row r="3068" spans="15:15" x14ac:dyDescent="0.25">
      <c r="O3068" s="55" t="str">
        <f t="shared" si="52"/>
        <v>01</v>
      </c>
    </row>
    <row r="3069" spans="15:15" x14ac:dyDescent="0.25">
      <c r="O3069" s="55" t="str">
        <f t="shared" si="52"/>
        <v>01</v>
      </c>
    </row>
    <row r="3070" spans="15:15" x14ac:dyDescent="0.25">
      <c r="O3070" s="55" t="str">
        <f t="shared" si="52"/>
        <v>01</v>
      </c>
    </row>
    <row r="3071" spans="15:15" x14ac:dyDescent="0.25">
      <c r="O3071" s="55" t="str">
        <f t="shared" si="52"/>
        <v>01</v>
      </c>
    </row>
    <row r="3072" spans="15:15" x14ac:dyDescent="0.25">
      <c r="O3072" s="55" t="str">
        <f t="shared" si="52"/>
        <v>01</v>
      </c>
    </row>
    <row r="3073" spans="15:15" x14ac:dyDescent="0.25">
      <c r="O3073" s="55" t="str">
        <f t="shared" si="52"/>
        <v>01</v>
      </c>
    </row>
    <row r="3074" spans="15:15" x14ac:dyDescent="0.25">
      <c r="O3074" s="55" t="str">
        <f t="shared" si="52"/>
        <v>01</v>
      </c>
    </row>
    <row r="3075" spans="15:15" x14ac:dyDescent="0.25">
      <c r="O3075" s="55" t="str">
        <f t="shared" si="52"/>
        <v>01</v>
      </c>
    </row>
    <row r="3076" spans="15:15" x14ac:dyDescent="0.25">
      <c r="O3076" s="55" t="str">
        <f t="shared" si="52"/>
        <v>01</v>
      </c>
    </row>
    <row r="3077" spans="15:15" x14ac:dyDescent="0.25">
      <c r="O3077" s="55" t="str">
        <f t="shared" si="52"/>
        <v>01</v>
      </c>
    </row>
    <row r="3078" spans="15:15" x14ac:dyDescent="0.25">
      <c r="O3078" s="55" t="str">
        <f t="shared" si="52"/>
        <v>01</v>
      </c>
    </row>
    <row r="3079" spans="15:15" x14ac:dyDescent="0.25">
      <c r="O3079" s="55" t="str">
        <f t="shared" si="52"/>
        <v>01</v>
      </c>
    </row>
    <row r="3080" spans="15:15" x14ac:dyDescent="0.25">
      <c r="O3080" s="55" t="str">
        <f t="shared" si="52"/>
        <v>01</v>
      </c>
    </row>
    <row r="3081" spans="15:15" x14ac:dyDescent="0.25">
      <c r="O3081" s="55" t="str">
        <f t="shared" si="52"/>
        <v>01</v>
      </c>
    </row>
    <row r="3082" spans="15:15" x14ac:dyDescent="0.25">
      <c r="O3082" s="55" t="str">
        <f t="shared" si="52"/>
        <v>01</v>
      </c>
    </row>
    <row r="3083" spans="15:15" x14ac:dyDescent="0.25">
      <c r="O3083" s="55" t="str">
        <f t="shared" si="52"/>
        <v>01</v>
      </c>
    </row>
    <row r="3084" spans="15:15" x14ac:dyDescent="0.25">
      <c r="O3084" s="55" t="str">
        <f t="shared" si="52"/>
        <v>01</v>
      </c>
    </row>
    <row r="3085" spans="15:15" x14ac:dyDescent="0.25">
      <c r="O3085" s="55" t="str">
        <f t="shared" si="52"/>
        <v>01</v>
      </c>
    </row>
    <row r="3086" spans="15:15" x14ac:dyDescent="0.25">
      <c r="O3086" s="55" t="str">
        <f t="shared" si="52"/>
        <v>01</v>
      </c>
    </row>
    <row r="3087" spans="15:15" x14ac:dyDescent="0.25">
      <c r="O3087" s="55" t="str">
        <f t="shared" si="52"/>
        <v>01</v>
      </c>
    </row>
    <row r="3088" spans="15:15" x14ac:dyDescent="0.25">
      <c r="O3088" s="55" t="str">
        <f t="shared" si="52"/>
        <v>01</v>
      </c>
    </row>
    <row r="3089" spans="15:15" x14ac:dyDescent="0.25">
      <c r="O3089" s="55" t="str">
        <f t="shared" si="52"/>
        <v>01</v>
      </c>
    </row>
    <row r="3090" spans="15:15" x14ac:dyDescent="0.25">
      <c r="O3090" s="55" t="str">
        <f t="shared" si="52"/>
        <v>01</v>
      </c>
    </row>
    <row r="3091" spans="15:15" x14ac:dyDescent="0.25">
      <c r="O3091" s="55" t="str">
        <f t="shared" si="52"/>
        <v>01</v>
      </c>
    </row>
    <row r="3092" spans="15:15" x14ac:dyDescent="0.25">
      <c r="O3092" s="55" t="str">
        <f t="shared" si="52"/>
        <v>01</v>
      </c>
    </row>
    <row r="3093" spans="15:15" x14ac:dyDescent="0.25">
      <c r="O3093" s="55" t="str">
        <f t="shared" si="52"/>
        <v>01</v>
      </c>
    </row>
    <row r="3094" spans="15:15" x14ac:dyDescent="0.25">
      <c r="O3094" s="55" t="str">
        <f t="shared" si="52"/>
        <v>01</v>
      </c>
    </row>
    <row r="3095" spans="15:15" x14ac:dyDescent="0.25">
      <c r="O3095" s="55" t="str">
        <f t="shared" si="52"/>
        <v>01</v>
      </c>
    </row>
    <row r="3096" spans="15:15" x14ac:dyDescent="0.25">
      <c r="O3096" s="55" t="str">
        <f t="shared" si="52"/>
        <v>01</v>
      </c>
    </row>
    <row r="3097" spans="15:15" x14ac:dyDescent="0.25">
      <c r="O3097" s="55" t="str">
        <f t="shared" si="52"/>
        <v>01</v>
      </c>
    </row>
    <row r="3098" spans="15:15" x14ac:dyDescent="0.25">
      <c r="O3098" s="55" t="str">
        <f t="shared" ref="O3098:O3161" si="53">+TEXT(H3098,"MM")</f>
        <v>01</v>
      </c>
    </row>
    <row r="3099" spans="15:15" x14ac:dyDescent="0.25">
      <c r="O3099" s="55" t="str">
        <f t="shared" si="53"/>
        <v>01</v>
      </c>
    </row>
    <row r="3100" spans="15:15" x14ac:dyDescent="0.25">
      <c r="O3100" s="55" t="str">
        <f t="shared" si="53"/>
        <v>01</v>
      </c>
    </row>
    <row r="3101" spans="15:15" x14ac:dyDescent="0.25">
      <c r="O3101" s="55" t="str">
        <f t="shared" si="53"/>
        <v>01</v>
      </c>
    </row>
    <row r="3102" spans="15:15" x14ac:dyDescent="0.25">
      <c r="O3102" s="55" t="str">
        <f t="shared" si="53"/>
        <v>01</v>
      </c>
    </row>
    <row r="3103" spans="15:15" x14ac:dyDescent="0.25">
      <c r="O3103" s="55" t="str">
        <f t="shared" si="53"/>
        <v>01</v>
      </c>
    </row>
    <row r="3104" spans="15:15" x14ac:dyDescent="0.25">
      <c r="O3104" s="55" t="str">
        <f t="shared" si="53"/>
        <v>01</v>
      </c>
    </row>
    <row r="3105" spans="15:15" x14ac:dyDescent="0.25">
      <c r="O3105" s="55" t="str">
        <f t="shared" si="53"/>
        <v>01</v>
      </c>
    </row>
    <row r="3106" spans="15:15" x14ac:dyDescent="0.25">
      <c r="O3106" s="55" t="str">
        <f t="shared" si="53"/>
        <v>01</v>
      </c>
    </row>
    <row r="3107" spans="15:15" x14ac:dyDescent="0.25">
      <c r="O3107" s="55" t="str">
        <f t="shared" si="53"/>
        <v>01</v>
      </c>
    </row>
    <row r="3108" spans="15:15" x14ac:dyDescent="0.25">
      <c r="O3108" s="55" t="str">
        <f t="shared" si="53"/>
        <v>01</v>
      </c>
    </row>
    <row r="3109" spans="15:15" x14ac:dyDescent="0.25">
      <c r="O3109" s="55" t="str">
        <f t="shared" si="53"/>
        <v>01</v>
      </c>
    </row>
    <row r="3110" spans="15:15" x14ac:dyDescent="0.25">
      <c r="O3110" s="55" t="str">
        <f t="shared" si="53"/>
        <v>01</v>
      </c>
    </row>
    <row r="3111" spans="15:15" x14ac:dyDescent="0.25">
      <c r="O3111" s="55" t="str">
        <f t="shared" si="53"/>
        <v>01</v>
      </c>
    </row>
    <row r="3112" spans="15:15" x14ac:dyDescent="0.25">
      <c r="O3112" s="55" t="str">
        <f t="shared" si="53"/>
        <v>01</v>
      </c>
    </row>
    <row r="3113" spans="15:15" x14ac:dyDescent="0.25">
      <c r="O3113" s="55" t="str">
        <f t="shared" si="53"/>
        <v>01</v>
      </c>
    </row>
    <row r="3114" spans="15:15" x14ac:dyDescent="0.25">
      <c r="O3114" s="55" t="str">
        <f t="shared" si="53"/>
        <v>01</v>
      </c>
    </row>
    <row r="3115" spans="15:15" x14ac:dyDescent="0.25">
      <c r="O3115" s="55" t="str">
        <f t="shared" si="53"/>
        <v>01</v>
      </c>
    </row>
    <row r="3116" spans="15:15" x14ac:dyDescent="0.25">
      <c r="O3116" s="55" t="str">
        <f t="shared" si="53"/>
        <v>01</v>
      </c>
    </row>
    <row r="3117" spans="15:15" x14ac:dyDescent="0.25">
      <c r="O3117" s="55" t="str">
        <f t="shared" si="53"/>
        <v>01</v>
      </c>
    </row>
    <row r="3118" spans="15:15" x14ac:dyDescent="0.25">
      <c r="O3118" s="55" t="str">
        <f t="shared" si="53"/>
        <v>01</v>
      </c>
    </row>
    <row r="3119" spans="15:15" x14ac:dyDescent="0.25">
      <c r="O3119" s="55" t="str">
        <f t="shared" si="53"/>
        <v>01</v>
      </c>
    </row>
    <row r="3120" spans="15:15" x14ac:dyDescent="0.25">
      <c r="O3120" s="55" t="str">
        <f t="shared" si="53"/>
        <v>01</v>
      </c>
    </row>
    <row r="3121" spans="15:15" x14ac:dyDescent="0.25">
      <c r="O3121" s="55" t="str">
        <f t="shared" si="53"/>
        <v>01</v>
      </c>
    </row>
    <row r="3122" spans="15:15" x14ac:dyDescent="0.25">
      <c r="O3122" s="55" t="str">
        <f t="shared" si="53"/>
        <v>01</v>
      </c>
    </row>
    <row r="3123" spans="15:15" x14ac:dyDescent="0.25">
      <c r="O3123" s="55" t="str">
        <f t="shared" si="53"/>
        <v>01</v>
      </c>
    </row>
    <row r="3124" spans="15:15" x14ac:dyDescent="0.25">
      <c r="O3124" s="55" t="str">
        <f t="shared" si="53"/>
        <v>01</v>
      </c>
    </row>
    <row r="3125" spans="15:15" x14ac:dyDescent="0.25">
      <c r="O3125" s="55" t="str">
        <f t="shared" si="53"/>
        <v>01</v>
      </c>
    </row>
    <row r="3126" spans="15:15" x14ac:dyDescent="0.25">
      <c r="O3126" s="55" t="str">
        <f t="shared" si="53"/>
        <v>01</v>
      </c>
    </row>
    <row r="3127" spans="15:15" x14ac:dyDescent="0.25">
      <c r="O3127" s="55" t="str">
        <f t="shared" si="53"/>
        <v>01</v>
      </c>
    </row>
    <row r="3128" spans="15:15" x14ac:dyDescent="0.25">
      <c r="O3128" s="55" t="str">
        <f t="shared" si="53"/>
        <v>01</v>
      </c>
    </row>
    <row r="3129" spans="15:15" x14ac:dyDescent="0.25">
      <c r="O3129" s="55" t="str">
        <f t="shared" si="53"/>
        <v>01</v>
      </c>
    </row>
    <row r="3130" spans="15:15" x14ac:dyDescent="0.25">
      <c r="O3130" s="55" t="str">
        <f t="shared" si="53"/>
        <v>01</v>
      </c>
    </row>
    <row r="3131" spans="15:15" x14ac:dyDescent="0.25">
      <c r="O3131" s="55" t="str">
        <f t="shared" si="53"/>
        <v>01</v>
      </c>
    </row>
    <row r="3132" spans="15:15" x14ac:dyDescent="0.25">
      <c r="O3132" s="55" t="str">
        <f t="shared" si="53"/>
        <v>01</v>
      </c>
    </row>
    <row r="3133" spans="15:15" x14ac:dyDescent="0.25">
      <c r="O3133" s="55" t="str">
        <f t="shared" si="53"/>
        <v>01</v>
      </c>
    </row>
    <row r="3134" spans="15:15" x14ac:dyDescent="0.25">
      <c r="O3134" s="55" t="str">
        <f t="shared" si="53"/>
        <v>01</v>
      </c>
    </row>
    <row r="3135" spans="15:15" x14ac:dyDescent="0.25">
      <c r="O3135" s="55" t="str">
        <f t="shared" si="53"/>
        <v>01</v>
      </c>
    </row>
    <row r="3136" spans="15:15" x14ac:dyDescent="0.25">
      <c r="O3136" s="55" t="str">
        <f t="shared" si="53"/>
        <v>01</v>
      </c>
    </row>
    <row r="3137" spans="15:15" x14ac:dyDescent="0.25">
      <c r="O3137" s="55" t="str">
        <f t="shared" si="53"/>
        <v>01</v>
      </c>
    </row>
    <row r="3138" spans="15:15" x14ac:dyDescent="0.25">
      <c r="O3138" s="55" t="str">
        <f t="shared" si="53"/>
        <v>01</v>
      </c>
    </row>
    <row r="3139" spans="15:15" x14ac:dyDescent="0.25">
      <c r="O3139" s="55" t="str">
        <f t="shared" si="53"/>
        <v>01</v>
      </c>
    </row>
    <row r="3140" spans="15:15" x14ac:dyDescent="0.25">
      <c r="O3140" s="55" t="str">
        <f t="shared" si="53"/>
        <v>01</v>
      </c>
    </row>
    <row r="3141" spans="15:15" x14ac:dyDescent="0.25">
      <c r="O3141" s="55" t="str">
        <f t="shared" si="53"/>
        <v>01</v>
      </c>
    </row>
    <row r="3142" spans="15:15" x14ac:dyDescent="0.25">
      <c r="O3142" s="55" t="str">
        <f t="shared" si="53"/>
        <v>01</v>
      </c>
    </row>
    <row r="3143" spans="15:15" x14ac:dyDescent="0.25">
      <c r="O3143" s="55" t="str">
        <f t="shared" si="53"/>
        <v>01</v>
      </c>
    </row>
    <row r="3144" spans="15:15" x14ac:dyDescent="0.25">
      <c r="O3144" s="55" t="str">
        <f t="shared" si="53"/>
        <v>01</v>
      </c>
    </row>
    <row r="3145" spans="15:15" x14ac:dyDescent="0.25">
      <c r="O3145" s="55" t="str">
        <f t="shared" si="53"/>
        <v>01</v>
      </c>
    </row>
    <row r="3146" spans="15:15" x14ac:dyDescent="0.25">
      <c r="O3146" s="55" t="str">
        <f t="shared" si="53"/>
        <v>01</v>
      </c>
    </row>
    <row r="3147" spans="15:15" x14ac:dyDescent="0.25">
      <c r="O3147" s="55" t="str">
        <f t="shared" si="53"/>
        <v>01</v>
      </c>
    </row>
    <row r="3148" spans="15:15" x14ac:dyDescent="0.25">
      <c r="O3148" s="55" t="str">
        <f t="shared" si="53"/>
        <v>01</v>
      </c>
    </row>
    <row r="3149" spans="15:15" x14ac:dyDescent="0.25">
      <c r="O3149" s="55" t="str">
        <f t="shared" si="53"/>
        <v>01</v>
      </c>
    </row>
    <row r="3150" spans="15:15" x14ac:dyDescent="0.25">
      <c r="O3150" s="55" t="str">
        <f t="shared" si="53"/>
        <v>01</v>
      </c>
    </row>
    <row r="3151" spans="15:15" x14ac:dyDescent="0.25">
      <c r="O3151" s="55" t="str">
        <f t="shared" si="53"/>
        <v>01</v>
      </c>
    </row>
    <row r="3152" spans="15:15" x14ac:dyDescent="0.25">
      <c r="O3152" s="55" t="str">
        <f t="shared" si="53"/>
        <v>01</v>
      </c>
    </row>
    <row r="3153" spans="15:15" x14ac:dyDescent="0.25">
      <c r="O3153" s="55" t="str">
        <f t="shared" si="53"/>
        <v>01</v>
      </c>
    </row>
    <row r="3154" spans="15:15" x14ac:dyDescent="0.25">
      <c r="O3154" s="55" t="str">
        <f t="shared" si="53"/>
        <v>01</v>
      </c>
    </row>
    <row r="3155" spans="15:15" x14ac:dyDescent="0.25">
      <c r="O3155" s="55" t="str">
        <f t="shared" si="53"/>
        <v>01</v>
      </c>
    </row>
    <row r="3156" spans="15:15" x14ac:dyDescent="0.25">
      <c r="O3156" s="55" t="str">
        <f t="shared" si="53"/>
        <v>01</v>
      </c>
    </row>
    <row r="3157" spans="15:15" x14ac:dyDescent="0.25">
      <c r="O3157" s="55" t="str">
        <f t="shared" si="53"/>
        <v>01</v>
      </c>
    </row>
    <row r="3158" spans="15:15" x14ac:dyDescent="0.25">
      <c r="O3158" s="55" t="str">
        <f t="shared" si="53"/>
        <v>01</v>
      </c>
    </row>
    <row r="3159" spans="15:15" x14ac:dyDescent="0.25">
      <c r="O3159" s="55" t="str">
        <f t="shared" si="53"/>
        <v>01</v>
      </c>
    </row>
    <row r="3160" spans="15:15" x14ac:dyDescent="0.25">
      <c r="O3160" s="55" t="str">
        <f t="shared" si="53"/>
        <v>01</v>
      </c>
    </row>
    <row r="3161" spans="15:15" x14ac:dyDescent="0.25">
      <c r="O3161" s="55" t="str">
        <f t="shared" si="53"/>
        <v>01</v>
      </c>
    </row>
    <row r="3162" spans="15:15" x14ac:dyDescent="0.25">
      <c r="O3162" s="55" t="str">
        <f t="shared" ref="O3162:O3225" si="54">+TEXT(H3162,"MM")</f>
        <v>01</v>
      </c>
    </row>
    <row r="3163" spans="15:15" x14ac:dyDescent="0.25">
      <c r="O3163" s="55" t="str">
        <f t="shared" si="54"/>
        <v>01</v>
      </c>
    </row>
    <row r="3164" spans="15:15" x14ac:dyDescent="0.25">
      <c r="O3164" s="55" t="str">
        <f t="shared" si="54"/>
        <v>01</v>
      </c>
    </row>
    <row r="3165" spans="15:15" x14ac:dyDescent="0.25">
      <c r="O3165" s="55" t="str">
        <f t="shared" si="54"/>
        <v>01</v>
      </c>
    </row>
    <row r="3166" spans="15:15" x14ac:dyDescent="0.25">
      <c r="O3166" s="55" t="str">
        <f t="shared" si="54"/>
        <v>01</v>
      </c>
    </row>
    <row r="3167" spans="15:15" x14ac:dyDescent="0.25">
      <c r="O3167" s="55" t="str">
        <f t="shared" si="54"/>
        <v>01</v>
      </c>
    </row>
    <row r="3168" spans="15:15" x14ac:dyDescent="0.25">
      <c r="O3168" s="55" t="str">
        <f t="shared" si="54"/>
        <v>01</v>
      </c>
    </row>
    <row r="3169" spans="15:15" x14ac:dyDescent="0.25">
      <c r="O3169" s="55" t="str">
        <f t="shared" si="54"/>
        <v>01</v>
      </c>
    </row>
    <row r="3170" spans="15:15" x14ac:dyDescent="0.25">
      <c r="O3170" s="55" t="str">
        <f t="shared" si="54"/>
        <v>01</v>
      </c>
    </row>
    <row r="3171" spans="15:15" x14ac:dyDescent="0.25">
      <c r="O3171" s="55" t="str">
        <f t="shared" si="54"/>
        <v>01</v>
      </c>
    </row>
    <row r="3172" spans="15:15" x14ac:dyDescent="0.25">
      <c r="O3172" s="55" t="str">
        <f t="shared" si="54"/>
        <v>01</v>
      </c>
    </row>
    <row r="3173" spans="15:15" x14ac:dyDescent="0.25">
      <c r="O3173" s="55" t="str">
        <f t="shared" si="54"/>
        <v>01</v>
      </c>
    </row>
    <row r="3174" spans="15:15" x14ac:dyDescent="0.25">
      <c r="O3174" s="55" t="str">
        <f t="shared" si="54"/>
        <v>01</v>
      </c>
    </row>
    <row r="3175" spans="15:15" x14ac:dyDescent="0.25">
      <c r="O3175" s="55" t="str">
        <f t="shared" si="54"/>
        <v>01</v>
      </c>
    </row>
    <row r="3176" spans="15:15" x14ac:dyDescent="0.25">
      <c r="O3176" s="55" t="str">
        <f t="shared" si="54"/>
        <v>01</v>
      </c>
    </row>
    <row r="3177" spans="15:15" x14ac:dyDescent="0.25">
      <c r="O3177" s="55" t="str">
        <f t="shared" si="54"/>
        <v>01</v>
      </c>
    </row>
    <row r="3178" spans="15:15" x14ac:dyDescent="0.25">
      <c r="O3178" s="55" t="str">
        <f t="shared" si="54"/>
        <v>01</v>
      </c>
    </row>
    <row r="3179" spans="15:15" x14ac:dyDescent="0.25">
      <c r="O3179" s="55" t="str">
        <f t="shared" si="54"/>
        <v>01</v>
      </c>
    </row>
    <row r="3180" spans="15:15" x14ac:dyDescent="0.25">
      <c r="O3180" s="55" t="str">
        <f t="shared" si="54"/>
        <v>01</v>
      </c>
    </row>
    <row r="3181" spans="15:15" x14ac:dyDescent="0.25">
      <c r="O3181" s="55" t="str">
        <f t="shared" si="54"/>
        <v>01</v>
      </c>
    </row>
    <row r="3182" spans="15:15" x14ac:dyDescent="0.25">
      <c r="O3182" s="55" t="str">
        <f t="shared" si="54"/>
        <v>01</v>
      </c>
    </row>
    <row r="3183" spans="15:15" x14ac:dyDescent="0.25">
      <c r="O3183" s="55" t="str">
        <f t="shared" si="54"/>
        <v>01</v>
      </c>
    </row>
    <row r="3184" spans="15:15" x14ac:dyDescent="0.25">
      <c r="O3184" s="55" t="str">
        <f t="shared" si="54"/>
        <v>01</v>
      </c>
    </row>
    <row r="3185" spans="15:15" x14ac:dyDescent="0.25">
      <c r="O3185" s="55" t="str">
        <f t="shared" si="54"/>
        <v>01</v>
      </c>
    </row>
    <row r="3186" spans="15:15" x14ac:dyDescent="0.25">
      <c r="O3186" s="55" t="str">
        <f t="shared" si="54"/>
        <v>01</v>
      </c>
    </row>
    <row r="3187" spans="15:15" x14ac:dyDescent="0.25">
      <c r="O3187" s="55" t="str">
        <f t="shared" si="54"/>
        <v>01</v>
      </c>
    </row>
    <row r="3188" spans="15:15" x14ac:dyDescent="0.25">
      <c r="O3188" s="55" t="str">
        <f t="shared" si="54"/>
        <v>01</v>
      </c>
    </row>
    <row r="3189" spans="15:15" x14ac:dyDescent="0.25">
      <c r="O3189" s="55" t="str">
        <f t="shared" si="54"/>
        <v>01</v>
      </c>
    </row>
    <row r="3190" spans="15:15" x14ac:dyDescent="0.25">
      <c r="O3190" s="55" t="str">
        <f t="shared" si="54"/>
        <v>01</v>
      </c>
    </row>
    <row r="3191" spans="15:15" x14ac:dyDescent="0.25">
      <c r="O3191" s="55" t="str">
        <f t="shared" si="54"/>
        <v>01</v>
      </c>
    </row>
    <row r="3192" spans="15:15" x14ac:dyDescent="0.25">
      <c r="O3192" s="55" t="str">
        <f t="shared" si="54"/>
        <v>01</v>
      </c>
    </row>
    <row r="3193" spans="15:15" x14ac:dyDescent="0.25">
      <c r="O3193" s="55" t="str">
        <f t="shared" si="54"/>
        <v>01</v>
      </c>
    </row>
    <row r="3194" spans="15:15" x14ac:dyDescent="0.25">
      <c r="O3194" s="55" t="str">
        <f t="shared" si="54"/>
        <v>01</v>
      </c>
    </row>
    <row r="3195" spans="15:15" x14ac:dyDescent="0.25">
      <c r="O3195" s="55" t="str">
        <f t="shared" si="54"/>
        <v>01</v>
      </c>
    </row>
    <row r="3196" spans="15:15" x14ac:dyDescent="0.25">
      <c r="O3196" s="55" t="str">
        <f t="shared" si="54"/>
        <v>01</v>
      </c>
    </row>
    <row r="3197" spans="15:15" x14ac:dyDescent="0.25">
      <c r="O3197" s="55" t="str">
        <f t="shared" si="54"/>
        <v>01</v>
      </c>
    </row>
    <row r="3198" spans="15:15" x14ac:dyDescent="0.25">
      <c r="O3198" s="55" t="str">
        <f t="shared" si="54"/>
        <v>01</v>
      </c>
    </row>
    <row r="3199" spans="15:15" x14ac:dyDescent="0.25">
      <c r="O3199" s="55" t="str">
        <f t="shared" si="54"/>
        <v>01</v>
      </c>
    </row>
    <row r="3200" spans="15:15" x14ac:dyDescent="0.25">
      <c r="O3200" s="55" t="str">
        <f t="shared" si="54"/>
        <v>01</v>
      </c>
    </row>
    <row r="3201" spans="15:15" x14ac:dyDescent="0.25">
      <c r="O3201" s="55" t="str">
        <f t="shared" si="54"/>
        <v>01</v>
      </c>
    </row>
    <row r="3202" spans="15:15" x14ac:dyDescent="0.25">
      <c r="O3202" s="55" t="str">
        <f t="shared" si="54"/>
        <v>01</v>
      </c>
    </row>
    <row r="3203" spans="15:15" x14ac:dyDescent="0.25">
      <c r="O3203" s="55" t="str">
        <f t="shared" si="54"/>
        <v>01</v>
      </c>
    </row>
    <row r="3204" spans="15:15" x14ac:dyDescent="0.25">
      <c r="O3204" s="55" t="str">
        <f t="shared" si="54"/>
        <v>01</v>
      </c>
    </row>
    <row r="3205" spans="15:15" x14ac:dyDescent="0.25">
      <c r="O3205" s="55" t="str">
        <f t="shared" si="54"/>
        <v>01</v>
      </c>
    </row>
    <row r="3206" spans="15:15" x14ac:dyDescent="0.25">
      <c r="O3206" s="55" t="str">
        <f t="shared" si="54"/>
        <v>01</v>
      </c>
    </row>
    <row r="3207" spans="15:15" x14ac:dyDescent="0.25">
      <c r="O3207" s="55" t="str">
        <f t="shared" si="54"/>
        <v>01</v>
      </c>
    </row>
    <row r="3208" spans="15:15" x14ac:dyDescent="0.25">
      <c r="O3208" s="55" t="str">
        <f t="shared" si="54"/>
        <v>01</v>
      </c>
    </row>
    <row r="3209" spans="15:15" x14ac:dyDescent="0.25">
      <c r="O3209" s="55" t="str">
        <f t="shared" si="54"/>
        <v>01</v>
      </c>
    </row>
    <row r="3210" spans="15:15" x14ac:dyDescent="0.25">
      <c r="O3210" s="55" t="str">
        <f t="shared" si="54"/>
        <v>01</v>
      </c>
    </row>
    <row r="3211" spans="15:15" x14ac:dyDescent="0.25">
      <c r="O3211" s="55" t="str">
        <f t="shared" si="54"/>
        <v>01</v>
      </c>
    </row>
    <row r="3212" spans="15:15" x14ac:dyDescent="0.25">
      <c r="O3212" s="55" t="str">
        <f t="shared" si="54"/>
        <v>01</v>
      </c>
    </row>
    <row r="3213" spans="15:15" x14ac:dyDescent="0.25">
      <c r="O3213" s="55" t="str">
        <f t="shared" si="54"/>
        <v>01</v>
      </c>
    </row>
    <row r="3214" spans="15:15" x14ac:dyDescent="0.25">
      <c r="O3214" s="55" t="str">
        <f t="shared" si="54"/>
        <v>01</v>
      </c>
    </row>
    <row r="3215" spans="15:15" x14ac:dyDescent="0.25">
      <c r="O3215" s="55" t="str">
        <f t="shared" si="54"/>
        <v>01</v>
      </c>
    </row>
    <row r="3216" spans="15:15" x14ac:dyDescent="0.25">
      <c r="O3216" s="55" t="str">
        <f t="shared" si="54"/>
        <v>01</v>
      </c>
    </row>
    <row r="3217" spans="15:15" x14ac:dyDescent="0.25">
      <c r="O3217" s="55" t="str">
        <f t="shared" si="54"/>
        <v>01</v>
      </c>
    </row>
    <row r="3218" spans="15:15" x14ac:dyDescent="0.25">
      <c r="O3218" s="55" t="str">
        <f t="shared" si="54"/>
        <v>01</v>
      </c>
    </row>
    <row r="3219" spans="15:15" x14ac:dyDescent="0.25">
      <c r="O3219" s="55" t="str">
        <f t="shared" si="54"/>
        <v>01</v>
      </c>
    </row>
    <row r="3220" spans="15:15" x14ac:dyDescent="0.25">
      <c r="O3220" s="55" t="str">
        <f t="shared" si="54"/>
        <v>01</v>
      </c>
    </row>
    <row r="3221" spans="15:15" x14ac:dyDescent="0.25">
      <c r="O3221" s="55" t="str">
        <f t="shared" si="54"/>
        <v>01</v>
      </c>
    </row>
    <row r="3222" spans="15:15" x14ac:dyDescent="0.25">
      <c r="O3222" s="55" t="str">
        <f t="shared" si="54"/>
        <v>01</v>
      </c>
    </row>
    <row r="3223" spans="15:15" x14ac:dyDescent="0.25">
      <c r="O3223" s="55" t="str">
        <f t="shared" si="54"/>
        <v>01</v>
      </c>
    </row>
    <row r="3224" spans="15:15" x14ac:dyDescent="0.25">
      <c r="O3224" s="55" t="str">
        <f t="shared" si="54"/>
        <v>01</v>
      </c>
    </row>
    <row r="3225" spans="15:15" x14ac:dyDescent="0.25">
      <c r="O3225" s="55" t="str">
        <f t="shared" si="54"/>
        <v>01</v>
      </c>
    </row>
    <row r="3226" spans="15:15" x14ac:dyDescent="0.25">
      <c r="O3226" s="55" t="str">
        <f t="shared" ref="O3226:O3289" si="55">+TEXT(H3226,"MM")</f>
        <v>01</v>
      </c>
    </row>
    <row r="3227" spans="15:15" x14ac:dyDescent="0.25">
      <c r="O3227" s="55" t="str">
        <f t="shared" si="55"/>
        <v>01</v>
      </c>
    </row>
    <row r="3228" spans="15:15" x14ac:dyDescent="0.25">
      <c r="O3228" s="55" t="str">
        <f t="shared" si="55"/>
        <v>01</v>
      </c>
    </row>
    <row r="3229" spans="15:15" x14ac:dyDescent="0.25">
      <c r="O3229" s="55" t="str">
        <f t="shared" si="55"/>
        <v>01</v>
      </c>
    </row>
    <row r="3230" spans="15:15" x14ac:dyDescent="0.25">
      <c r="O3230" s="55" t="str">
        <f t="shared" si="55"/>
        <v>01</v>
      </c>
    </row>
    <row r="3231" spans="15:15" x14ac:dyDescent="0.25">
      <c r="O3231" s="55" t="str">
        <f t="shared" si="55"/>
        <v>01</v>
      </c>
    </row>
    <row r="3232" spans="15:15" x14ac:dyDescent="0.25">
      <c r="O3232" s="55" t="str">
        <f t="shared" si="55"/>
        <v>01</v>
      </c>
    </row>
    <row r="3233" spans="15:15" x14ac:dyDescent="0.25">
      <c r="O3233" s="55" t="str">
        <f t="shared" si="55"/>
        <v>01</v>
      </c>
    </row>
    <row r="3234" spans="15:15" x14ac:dyDescent="0.25">
      <c r="O3234" s="55" t="str">
        <f t="shared" si="55"/>
        <v>01</v>
      </c>
    </row>
    <row r="3235" spans="15:15" x14ac:dyDescent="0.25">
      <c r="O3235" s="55" t="str">
        <f t="shared" si="55"/>
        <v>01</v>
      </c>
    </row>
    <row r="3236" spans="15:15" x14ac:dyDescent="0.25">
      <c r="O3236" s="55" t="str">
        <f t="shared" si="55"/>
        <v>01</v>
      </c>
    </row>
    <row r="3237" spans="15:15" x14ac:dyDescent="0.25">
      <c r="O3237" s="55" t="str">
        <f t="shared" si="55"/>
        <v>01</v>
      </c>
    </row>
    <row r="3238" spans="15:15" x14ac:dyDescent="0.25">
      <c r="O3238" s="55" t="str">
        <f t="shared" si="55"/>
        <v>01</v>
      </c>
    </row>
    <row r="3239" spans="15:15" x14ac:dyDescent="0.25">
      <c r="O3239" s="55" t="str">
        <f t="shared" si="55"/>
        <v>01</v>
      </c>
    </row>
    <row r="3240" spans="15:15" x14ac:dyDescent="0.25">
      <c r="O3240" s="55" t="str">
        <f t="shared" si="55"/>
        <v>01</v>
      </c>
    </row>
    <row r="3241" spans="15:15" x14ac:dyDescent="0.25">
      <c r="O3241" s="55" t="str">
        <f t="shared" si="55"/>
        <v>01</v>
      </c>
    </row>
    <row r="3242" spans="15:15" x14ac:dyDescent="0.25">
      <c r="O3242" s="55" t="str">
        <f t="shared" si="55"/>
        <v>01</v>
      </c>
    </row>
    <row r="3243" spans="15:15" x14ac:dyDescent="0.25">
      <c r="O3243" s="55" t="str">
        <f t="shared" si="55"/>
        <v>01</v>
      </c>
    </row>
    <row r="3244" spans="15:15" x14ac:dyDescent="0.25">
      <c r="O3244" s="55" t="str">
        <f t="shared" si="55"/>
        <v>01</v>
      </c>
    </row>
    <row r="3245" spans="15:15" x14ac:dyDescent="0.25">
      <c r="O3245" s="55" t="str">
        <f t="shared" si="55"/>
        <v>01</v>
      </c>
    </row>
    <row r="3246" spans="15:15" x14ac:dyDescent="0.25">
      <c r="O3246" s="55" t="str">
        <f t="shared" si="55"/>
        <v>01</v>
      </c>
    </row>
    <row r="3247" spans="15:15" x14ac:dyDescent="0.25">
      <c r="O3247" s="55" t="str">
        <f t="shared" si="55"/>
        <v>01</v>
      </c>
    </row>
    <row r="3248" spans="15:15" x14ac:dyDescent="0.25">
      <c r="O3248" s="55" t="str">
        <f t="shared" si="55"/>
        <v>01</v>
      </c>
    </row>
    <row r="3249" spans="15:15" x14ac:dyDescent="0.25">
      <c r="O3249" s="55" t="str">
        <f t="shared" si="55"/>
        <v>01</v>
      </c>
    </row>
    <row r="3250" spans="15:15" x14ac:dyDescent="0.25">
      <c r="O3250" s="55" t="str">
        <f t="shared" si="55"/>
        <v>01</v>
      </c>
    </row>
    <row r="3251" spans="15:15" x14ac:dyDescent="0.25">
      <c r="O3251" s="55" t="str">
        <f t="shared" si="55"/>
        <v>01</v>
      </c>
    </row>
    <row r="3252" spans="15:15" x14ac:dyDescent="0.25">
      <c r="O3252" s="55" t="str">
        <f t="shared" si="55"/>
        <v>01</v>
      </c>
    </row>
    <row r="3253" spans="15:15" x14ac:dyDescent="0.25">
      <c r="O3253" s="55" t="str">
        <f t="shared" si="55"/>
        <v>01</v>
      </c>
    </row>
    <row r="3254" spans="15:15" x14ac:dyDescent="0.25">
      <c r="O3254" s="55" t="str">
        <f t="shared" si="55"/>
        <v>01</v>
      </c>
    </row>
    <row r="3255" spans="15:15" x14ac:dyDescent="0.25">
      <c r="O3255" s="55" t="str">
        <f t="shared" si="55"/>
        <v>01</v>
      </c>
    </row>
    <row r="3256" spans="15:15" x14ac:dyDescent="0.25">
      <c r="O3256" s="55" t="str">
        <f t="shared" si="55"/>
        <v>01</v>
      </c>
    </row>
    <row r="3257" spans="15:15" x14ac:dyDescent="0.25">
      <c r="O3257" s="55" t="str">
        <f t="shared" si="55"/>
        <v>01</v>
      </c>
    </row>
    <row r="3258" spans="15:15" x14ac:dyDescent="0.25">
      <c r="O3258" s="55" t="str">
        <f t="shared" si="55"/>
        <v>01</v>
      </c>
    </row>
    <row r="3259" spans="15:15" x14ac:dyDescent="0.25">
      <c r="O3259" s="55" t="str">
        <f t="shared" si="55"/>
        <v>01</v>
      </c>
    </row>
    <row r="3260" spans="15:15" x14ac:dyDescent="0.25">
      <c r="O3260" s="55" t="str">
        <f t="shared" si="55"/>
        <v>01</v>
      </c>
    </row>
    <row r="3261" spans="15:15" x14ac:dyDescent="0.25">
      <c r="O3261" s="55" t="str">
        <f t="shared" si="55"/>
        <v>01</v>
      </c>
    </row>
    <row r="3262" spans="15:15" x14ac:dyDescent="0.25">
      <c r="O3262" s="55" t="str">
        <f t="shared" si="55"/>
        <v>01</v>
      </c>
    </row>
    <row r="3263" spans="15:15" x14ac:dyDescent="0.25">
      <c r="O3263" s="55" t="str">
        <f t="shared" si="55"/>
        <v>01</v>
      </c>
    </row>
    <row r="3264" spans="15:15" x14ac:dyDescent="0.25">
      <c r="O3264" s="55" t="str">
        <f t="shared" si="55"/>
        <v>01</v>
      </c>
    </row>
    <row r="3265" spans="15:15" x14ac:dyDescent="0.25">
      <c r="O3265" s="55" t="str">
        <f t="shared" si="55"/>
        <v>01</v>
      </c>
    </row>
    <row r="3266" spans="15:15" x14ac:dyDescent="0.25">
      <c r="O3266" s="55" t="str">
        <f t="shared" si="55"/>
        <v>01</v>
      </c>
    </row>
    <row r="3267" spans="15:15" x14ac:dyDescent="0.25">
      <c r="O3267" s="55" t="str">
        <f t="shared" si="55"/>
        <v>01</v>
      </c>
    </row>
    <row r="3268" spans="15:15" x14ac:dyDescent="0.25">
      <c r="O3268" s="55" t="str">
        <f t="shared" si="55"/>
        <v>01</v>
      </c>
    </row>
    <row r="3269" spans="15:15" x14ac:dyDescent="0.25">
      <c r="O3269" s="55" t="str">
        <f t="shared" si="55"/>
        <v>01</v>
      </c>
    </row>
    <row r="3270" spans="15:15" x14ac:dyDescent="0.25">
      <c r="O3270" s="55" t="str">
        <f t="shared" si="55"/>
        <v>01</v>
      </c>
    </row>
    <row r="3271" spans="15:15" x14ac:dyDescent="0.25">
      <c r="O3271" s="55" t="str">
        <f t="shared" si="55"/>
        <v>01</v>
      </c>
    </row>
    <row r="3272" spans="15:15" x14ac:dyDescent="0.25">
      <c r="O3272" s="55" t="str">
        <f t="shared" si="55"/>
        <v>01</v>
      </c>
    </row>
    <row r="3273" spans="15:15" x14ac:dyDescent="0.25">
      <c r="O3273" s="55" t="str">
        <f t="shared" si="55"/>
        <v>01</v>
      </c>
    </row>
    <row r="3274" spans="15:15" x14ac:dyDescent="0.25">
      <c r="O3274" s="55" t="str">
        <f t="shared" si="55"/>
        <v>01</v>
      </c>
    </row>
    <row r="3275" spans="15:15" x14ac:dyDescent="0.25">
      <c r="O3275" s="55" t="str">
        <f t="shared" si="55"/>
        <v>01</v>
      </c>
    </row>
    <row r="3276" spans="15:15" x14ac:dyDescent="0.25">
      <c r="O3276" s="55" t="str">
        <f t="shared" si="55"/>
        <v>01</v>
      </c>
    </row>
    <row r="3277" spans="15:15" x14ac:dyDescent="0.25">
      <c r="O3277" s="55" t="str">
        <f t="shared" si="55"/>
        <v>01</v>
      </c>
    </row>
    <row r="3278" spans="15:15" x14ac:dyDescent="0.25">
      <c r="O3278" s="55" t="str">
        <f t="shared" si="55"/>
        <v>01</v>
      </c>
    </row>
    <row r="3279" spans="15:15" x14ac:dyDescent="0.25">
      <c r="O3279" s="55" t="str">
        <f t="shared" si="55"/>
        <v>01</v>
      </c>
    </row>
    <row r="3280" spans="15:15" x14ac:dyDescent="0.25">
      <c r="O3280" s="55" t="str">
        <f t="shared" si="55"/>
        <v>01</v>
      </c>
    </row>
    <row r="3281" spans="15:15" x14ac:dyDescent="0.25">
      <c r="O3281" s="55" t="str">
        <f t="shared" si="55"/>
        <v>01</v>
      </c>
    </row>
    <row r="3282" spans="15:15" x14ac:dyDescent="0.25">
      <c r="O3282" s="55" t="str">
        <f t="shared" si="55"/>
        <v>01</v>
      </c>
    </row>
    <row r="3283" spans="15:15" x14ac:dyDescent="0.25">
      <c r="O3283" s="55" t="str">
        <f t="shared" si="55"/>
        <v>01</v>
      </c>
    </row>
    <row r="3284" spans="15:15" x14ac:dyDescent="0.25">
      <c r="O3284" s="55" t="str">
        <f t="shared" si="55"/>
        <v>01</v>
      </c>
    </row>
    <row r="3285" spans="15:15" x14ac:dyDescent="0.25">
      <c r="O3285" s="55" t="str">
        <f t="shared" si="55"/>
        <v>01</v>
      </c>
    </row>
    <row r="3286" spans="15:15" x14ac:dyDescent="0.25">
      <c r="O3286" s="55" t="str">
        <f t="shared" si="55"/>
        <v>01</v>
      </c>
    </row>
    <row r="3287" spans="15:15" x14ac:dyDescent="0.25">
      <c r="O3287" s="55" t="str">
        <f t="shared" si="55"/>
        <v>01</v>
      </c>
    </row>
    <row r="3288" spans="15:15" x14ac:dyDescent="0.25">
      <c r="O3288" s="55" t="str">
        <f t="shared" si="55"/>
        <v>01</v>
      </c>
    </row>
    <row r="3289" spans="15:15" x14ac:dyDescent="0.25">
      <c r="O3289" s="55" t="str">
        <f t="shared" si="55"/>
        <v>01</v>
      </c>
    </row>
    <row r="3290" spans="15:15" x14ac:dyDescent="0.25">
      <c r="O3290" s="55" t="str">
        <f t="shared" ref="O3290:O3353" si="56">+TEXT(H3290,"MM")</f>
        <v>01</v>
      </c>
    </row>
    <row r="3291" spans="15:15" x14ac:dyDescent="0.25">
      <c r="O3291" s="55" t="str">
        <f t="shared" si="56"/>
        <v>01</v>
      </c>
    </row>
    <row r="3292" spans="15:15" x14ac:dyDescent="0.25">
      <c r="O3292" s="55" t="str">
        <f t="shared" si="56"/>
        <v>01</v>
      </c>
    </row>
    <row r="3293" spans="15:15" x14ac:dyDescent="0.25">
      <c r="O3293" s="55" t="str">
        <f t="shared" si="56"/>
        <v>01</v>
      </c>
    </row>
    <row r="3294" spans="15:15" x14ac:dyDescent="0.25">
      <c r="O3294" s="55" t="str">
        <f t="shared" si="56"/>
        <v>01</v>
      </c>
    </row>
    <row r="3295" spans="15:15" x14ac:dyDescent="0.25">
      <c r="O3295" s="55" t="str">
        <f t="shared" si="56"/>
        <v>01</v>
      </c>
    </row>
    <row r="3296" spans="15:15" x14ac:dyDescent="0.25">
      <c r="O3296" s="55" t="str">
        <f t="shared" si="56"/>
        <v>01</v>
      </c>
    </row>
    <row r="3297" spans="15:15" x14ac:dyDescent="0.25">
      <c r="O3297" s="55" t="str">
        <f t="shared" si="56"/>
        <v>01</v>
      </c>
    </row>
    <row r="3298" spans="15:15" x14ac:dyDescent="0.25">
      <c r="O3298" s="55" t="str">
        <f t="shared" si="56"/>
        <v>01</v>
      </c>
    </row>
    <row r="3299" spans="15:15" x14ac:dyDescent="0.25">
      <c r="O3299" s="55" t="str">
        <f t="shared" si="56"/>
        <v>01</v>
      </c>
    </row>
    <row r="3300" spans="15:15" x14ac:dyDescent="0.25">
      <c r="O3300" s="55" t="str">
        <f t="shared" si="56"/>
        <v>01</v>
      </c>
    </row>
    <row r="3301" spans="15:15" x14ac:dyDescent="0.25">
      <c r="O3301" s="55" t="str">
        <f t="shared" si="56"/>
        <v>01</v>
      </c>
    </row>
    <row r="3302" spans="15:15" x14ac:dyDescent="0.25">
      <c r="O3302" s="55" t="str">
        <f t="shared" si="56"/>
        <v>01</v>
      </c>
    </row>
    <row r="3303" spans="15:15" x14ac:dyDescent="0.25">
      <c r="O3303" s="55" t="str">
        <f t="shared" si="56"/>
        <v>01</v>
      </c>
    </row>
    <row r="3304" spans="15:15" x14ac:dyDescent="0.25">
      <c r="O3304" s="55" t="str">
        <f t="shared" si="56"/>
        <v>01</v>
      </c>
    </row>
    <row r="3305" spans="15:15" x14ac:dyDescent="0.25">
      <c r="O3305" s="55" t="str">
        <f t="shared" si="56"/>
        <v>01</v>
      </c>
    </row>
    <row r="3306" spans="15:15" x14ac:dyDescent="0.25">
      <c r="O3306" s="55" t="str">
        <f t="shared" si="56"/>
        <v>01</v>
      </c>
    </row>
    <row r="3307" spans="15:15" x14ac:dyDescent="0.25">
      <c r="O3307" s="55" t="str">
        <f t="shared" si="56"/>
        <v>01</v>
      </c>
    </row>
    <row r="3308" spans="15:15" x14ac:dyDescent="0.25">
      <c r="O3308" s="55" t="str">
        <f t="shared" si="56"/>
        <v>01</v>
      </c>
    </row>
    <row r="3309" spans="15:15" x14ac:dyDescent="0.25">
      <c r="O3309" s="55" t="str">
        <f t="shared" si="56"/>
        <v>01</v>
      </c>
    </row>
    <row r="3310" spans="15:15" x14ac:dyDescent="0.25">
      <c r="O3310" s="55" t="str">
        <f t="shared" si="56"/>
        <v>01</v>
      </c>
    </row>
    <row r="3311" spans="15:15" x14ac:dyDescent="0.25">
      <c r="O3311" s="55" t="str">
        <f t="shared" si="56"/>
        <v>01</v>
      </c>
    </row>
    <row r="3312" spans="15:15" x14ac:dyDescent="0.25">
      <c r="O3312" s="55" t="str">
        <f t="shared" si="56"/>
        <v>01</v>
      </c>
    </row>
    <row r="3313" spans="15:15" x14ac:dyDescent="0.25">
      <c r="O3313" s="55" t="str">
        <f t="shared" si="56"/>
        <v>01</v>
      </c>
    </row>
    <row r="3314" spans="15:15" x14ac:dyDescent="0.25">
      <c r="O3314" s="55" t="str">
        <f t="shared" si="56"/>
        <v>01</v>
      </c>
    </row>
    <row r="3315" spans="15:15" x14ac:dyDescent="0.25">
      <c r="O3315" s="55" t="str">
        <f t="shared" si="56"/>
        <v>01</v>
      </c>
    </row>
    <row r="3316" spans="15:15" x14ac:dyDescent="0.25">
      <c r="O3316" s="55" t="str">
        <f t="shared" si="56"/>
        <v>01</v>
      </c>
    </row>
    <row r="3317" spans="15:15" x14ac:dyDescent="0.25">
      <c r="O3317" s="55" t="str">
        <f t="shared" si="56"/>
        <v>01</v>
      </c>
    </row>
    <row r="3318" spans="15:15" x14ac:dyDescent="0.25">
      <c r="O3318" s="55" t="str">
        <f t="shared" si="56"/>
        <v>01</v>
      </c>
    </row>
    <row r="3319" spans="15:15" x14ac:dyDescent="0.25">
      <c r="O3319" s="55" t="str">
        <f t="shared" si="56"/>
        <v>01</v>
      </c>
    </row>
    <row r="3320" spans="15:15" x14ac:dyDescent="0.25">
      <c r="O3320" s="55" t="str">
        <f t="shared" si="56"/>
        <v>01</v>
      </c>
    </row>
    <row r="3321" spans="15:15" x14ac:dyDescent="0.25">
      <c r="O3321" s="55" t="str">
        <f t="shared" si="56"/>
        <v>01</v>
      </c>
    </row>
    <row r="3322" spans="15:15" x14ac:dyDescent="0.25">
      <c r="O3322" s="55" t="str">
        <f t="shared" si="56"/>
        <v>01</v>
      </c>
    </row>
    <row r="3323" spans="15:15" x14ac:dyDescent="0.25">
      <c r="O3323" s="55" t="str">
        <f t="shared" si="56"/>
        <v>01</v>
      </c>
    </row>
    <row r="3324" spans="15:15" x14ac:dyDescent="0.25">
      <c r="O3324" s="55" t="str">
        <f t="shared" si="56"/>
        <v>01</v>
      </c>
    </row>
    <row r="3325" spans="15:15" x14ac:dyDescent="0.25">
      <c r="O3325" s="55" t="str">
        <f t="shared" si="56"/>
        <v>01</v>
      </c>
    </row>
    <row r="3326" spans="15:15" x14ac:dyDescent="0.25">
      <c r="O3326" s="55" t="str">
        <f t="shared" si="56"/>
        <v>01</v>
      </c>
    </row>
    <row r="3327" spans="15:15" x14ac:dyDescent="0.25">
      <c r="O3327" s="55" t="str">
        <f t="shared" si="56"/>
        <v>01</v>
      </c>
    </row>
    <row r="3328" spans="15:15" x14ac:dyDescent="0.25">
      <c r="O3328" s="55" t="str">
        <f t="shared" si="56"/>
        <v>01</v>
      </c>
    </row>
    <row r="3329" spans="15:15" x14ac:dyDescent="0.25">
      <c r="O3329" s="55" t="str">
        <f t="shared" si="56"/>
        <v>01</v>
      </c>
    </row>
    <row r="3330" spans="15:15" x14ac:dyDescent="0.25">
      <c r="O3330" s="55" t="str">
        <f t="shared" si="56"/>
        <v>01</v>
      </c>
    </row>
    <row r="3331" spans="15:15" x14ac:dyDescent="0.25">
      <c r="O3331" s="55" t="str">
        <f t="shared" si="56"/>
        <v>01</v>
      </c>
    </row>
    <row r="3332" spans="15:15" x14ac:dyDescent="0.25">
      <c r="O3332" s="55" t="str">
        <f t="shared" si="56"/>
        <v>01</v>
      </c>
    </row>
    <row r="3333" spans="15:15" x14ac:dyDescent="0.25">
      <c r="O3333" s="55" t="str">
        <f t="shared" si="56"/>
        <v>01</v>
      </c>
    </row>
    <row r="3334" spans="15:15" x14ac:dyDescent="0.25">
      <c r="O3334" s="55" t="str">
        <f t="shared" si="56"/>
        <v>01</v>
      </c>
    </row>
    <row r="3335" spans="15:15" x14ac:dyDescent="0.25">
      <c r="O3335" s="55" t="str">
        <f t="shared" si="56"/>
        <v>01</v>
      </c>
    </row>
    <row r="3336" spans="15:15" x14ac:dyDescent="0.25">
      <c r="O3336" s="55" t="str">
        <f t="shared" si="56"/>
        <v>01</v>
      </c>
    </row>
    <row r="3337" spans="15:15" x14ac:dyDescent="0.25">
      <c r="O3337" s="55" t="str">
        <f t="shared" si="56"/>
        <v>01</v>
      </c>
    </row>
    <row r="3338" spans="15:15" x14ac:dyDescent="0.25">
      <c r="O3338" s="55" t="str">
        <f t="shared" si="56"/>
        <v>01</v>
      </c>
    </row>
    <row r="3339" spans="15:15" x14ac:dyDescent="0.25">
      <c r="O3339" s="55" t="str">
        <f t="shared" si="56"/>
        <v>01</v>
      </c>
    </row>
    <row r="3340" spans="15:15" x14ac:dyDescent="0.25">
      <c r="O3340" s="55" t="str">
        <f t="shared" si="56"/>
        <v>01</v>
      </c>
    </row>
    <row r="3341" spans="15:15" x14ac:dyDescent="0.25">
      <c r="O3341" s="55" t="str">
        <f t="shared" si="56"/>
        <v>01</v>
      </c>
    </row>
    <row r="3342" spans="15:15" x14ac:dyDescent="0.25">
      <c r="O3342" s="55" t="str">
        <f t="shared" si="56"/>
        <v>01</v>
      </c>
    </row>
    <row r="3343" spans="15:15" x14ac:dyDescent="0.25">
      <c r="O3343" s="55" t="str">
        <f t="shared" si="56"/>
        <v>01</v>
      </c>
    </row>
    <row r="3344" spans="15:15" x14ac:dyDescent="0.25">
      <c r="O3344" s="55" t="str">
        <f t="shared" si="56"/>
        <v>01</v>
      </c>
    </row>
    <row r="3345" spans="15:15" x14ac:dyDescent="0.25">
      <c r="O3345" s="55" t="str">
        <f t="shared" si="56"/>
        <v>01</v>
      </c>
    </row>
    <row r="3346" spans="15:15" x14ac:dyDescent="0.25">
      <c r="O3346" s="55" t="str">
        <f t="shared" si="56"/>
        <v>01</v>
      </c>
    </row>
    <row r="3347" spans="15:15" x14ac:dyDescent="0.25">
      <c r="O3347" s="55" t="str">
        <f t="shared" si="56"/>
        <v>01</v>
      </c>
    </row>
    <row r="3348" spans="15:15" x14ac:dyDescent="0.25">
      <c r="O3348" s="55" t="str">
        <f t="shared" si="56"/>
        <v>01</v>
      </c>
    </row>
    <row r="3349" spans="15:15" x14ac:dyDescent="0.25">
      <c r="O3349" s="55" t="str">
        <f t="shared" si="56"/>
        <v>01</v>
      </c>
    </row>
    <row r="3350" spans="15:15" x14ac:dyDescent="0.25">
      <c r="O3350" s="55" t="str">
        <f t="shared" si="56"/>
        <v>01</v>
      </c>
    </row>
    <row r="3351" spans="15:15" x14ac:dyDescent="0.25">
      <c r="O3351" s="55" t="str">
        <f t="shared" si="56"/>
        <v>01</v>
      </c>
    </row>
    <row r="3352" spans="15:15" x14ac:dyDescent="0.25">
      <c r="O3352" s="55" t="str">
        <f t="shared" si="56"/>
        <v>01</v>
      </c>
    </row>
    <row r="3353" spans="15:15" x14ac:dyDescent="0.25">
      <c r="O3353" s="55" t="str">
        <f t="shared" si="56"/>
        <v>01</v>
      </c>
    </row>
    <row r="3354" spans="15:15" x14ac:dyDescent="0.25">
      <c r="O3354" s="55" t="str">
        <f t="shared" ref="O3354:O3417" si="57">+TEXT(H3354,"MM")</f>
        <v>01</v>
      </c>
    </row>
    <row r="3355" spans="15:15" x14ac:dyDescent="0.25">
      <c r="O3355" s="55" t="str">
        <f t="shared" si="57"/>
        <v>01</v>
      </c>
    </row>
    <row r="3356" spans="15:15" x14ac:dyDescent="0.25">
      <c r="O3356" s="55" t="str">
        <f t="shared" si="57"/>
        <v>01</v>
      </c>
    </row>
    <row r="3357" spans="15:15" x14ac:dyDescent="0.25">
      <c r="O3357" s="55" t="str">
        <f t="shared" si="57"/>
        <v>01</v>
      </c>
    </row>
    <row r="3358" spans="15:15" x14ac:dyDescent="0.25">
      <c r="O3358" s="55" t="str">
        <f t="shared" si="57"/>
        <v>01</v>
      </c>
    </row>
    <row r="3359" spans="15:15" x14ac:dyDescent="0.25">
      <c r="O3359" s="55" t="str">
        <f t="shared" si="57"/>
        <v>01</v>
      </c>
    </row>
    <row r="3360" spans="15:15" x14ac:dyDescent="0.25">
      <c r="O3360" s="55" t="str">
        <f t="shared" si="57"/>
        <v>01</v>
      </c>
    </row>
    <row r="3361" spans="15:15" x14ac:dyDescent="0.25">
      <c r="O3361" s="55" t="str">
        <f t="shared" si="57"/>
        <v>01</v>
      </c>
    </row>
    <row r="3362" spans="15:15" x14ac:dyDescent="0.25">
      <c r="O3362" s="55" t="str">
        <f t="shared" si="57"/>
        <v>01</v>
      </c>
    </row>
    <row r="3363" spans="15:15" x14ac:dyDescent="0.25">
      <c r="O3363" s="55" t="str">
        <f t="shared" si="57"/>
        <v>01</v>
      </c>
    </row>
    <row r="3364" spans="15:15" x14ac:dyDescent="0.25">
      <c r="O3364" s="55" t="str">
        <f t="shared" si="57"/>
        <v>01</v>
      </c>
    </row>
    <row r="3365" spans="15:15" x14ac:dyDescent="0.25">
      <c r="O3365" s="55" t="str">
        <f t="shared" si="57"/>
        <v>01</v>
      </c>
    </row>
    <row r="3366" spans="15:15" x14ac:dyDescent="0.25">
      <c r="O3366" s="55" t="str">
        <f t="shared" si="57"/>
        <v>01</v>
      </c>
    </row>
    <row r="3367" spans="15:15" x14ac:dyDescent="0.25">
      <c r="O3367" s="55" t="str">
        <f t="shared" si="57"/>
        <v>01</v>
      </c>
    </row>
    <row r="3368" spans="15:15" x14ac:dyDescent="0.25">
      <c r="O3368" s="55" t="str">
        <f t="shared" si="57"/>
        <v>01</v>
      </c>
    </row>
    <row r="3369" spans="15:15" x14ac:dyDescent="0.25">
      <c r="O3369" s="55" t="str">
        <f t="shared" si="57"/>
        <v>01</v>
      </c>
    </row>
    <row r="3370" spans="15:15" x14ac:dyDescent="0.25">
      <c r="O3370" s="55" t="str">
        <f t="shared" si="57"/>
        <v>01</v>
      </c>
    </row>
    <row r="3371" spans="15:15" x14ac:dyDescent="0.25">
      <c r="O3371" s="55" t="str">
        <f t="shared" si="57"/>
        <v>01</v>
      </c>
    </row>
    <row r="3372" spans="15:15" x14ac:dyDescent="0.25">
      <c r="O3372" s="55" t="str">
        <f t="shared" si="57"/>
        <v>01</v>
      </c>
    </row>
    <row r="3373" spans="15:15" x14ac:dyDescent="0.25">
      <c r="O3373" s="55" t="str">
        <f t="shared" si="57"/>
        <v>01</v>
      </c>
    </row>
    <row r="3374" spans="15:15" x14ac:dyDescent="0.25">
      <c r="O3374" s="55" t="str">
        <f t="shared" si="57"/>
        <v>01</v>
      </c>
    </row>
    <row r="3375" spans="15:15" x14ac:dyDescent="0.25">
      <c r="O3375" s="55" t="str">
        <f t="shared" si="57"/>
        <v>01</v>
      </c>
    </row>
    <row r="3376" spans="15:15" x14ac:dyDescent="0.25">
      <c r="O3376" s="55" t="str">
        <f t="shared" si="57"/>
        <v>01</v>
      </c>
    </row>
    <row r="3377" spans="15:15" x14ac:dyDescent="0.25">
      <c r="O3377" s="55" t="str">
        <f t="shared" si="57"/>
        <v>01</v>
      </c>
    </row>
    <row r="3378" spans="15:15" x14ac:dyDescent="0.25">
      <c r="O3378" s="55" t="str">
        <f t="shared" si="57"/>
        <v>01</v>
      </c>
    </row>
    <row r="3379" spans="15:15" x14ac:dyDescent="0.25">
      <c r="O3379" s="55" t="str">
        <f t="shared" si="57"/>
        <v>01</v>
      </c>
    </row>
    <row r="3380" spans="15:15" x14ac:dyDescent="0.25">
      <c r="O3380" s="55" t="str">
        <f t="shared" si="57"/>
        <v>01</v>
      </c>
    </row>
    <row r="3381" spans="15:15" x14ac:dyDescent="0.25">
      <c r="O3381" s="55" t="str">
        <f t="shared" si="57"/>
        <v>01</v>
      </c>
    </row>
    <row r="3382" spans="15:15" x14ac:dyDescent="0.25">
      <c r="O3382" s="55" t="str">
        <f t="shared" si="57"/>
        <v>01</v>
      </c>
    </row>
    <row r="3383" spans="15:15" x14ac:dyDescent="0.25">
      <c r="O3383" s="55" t="str">
        <f t="shared" si="57"/>
        <v>01</v>
      </c>
    </row>
    <row r="3384" spans="15:15" x14ac:dyDescent="0.25">
      <c r="O3384" s="55" t="str">
        <f t="shared" si="57"/>
        <v>01</v>
      </c>
    </row>
    <row r="3385" spans="15:15" x14ac:dyDescent="0.25">
      <c r="O3385" s="55" t="str">
        <f t="shared" si="57"/>
        <v>01</v>
      </c>
    </row>
    <row r="3386" spans="15:15" x14ac:dyDescent="0.25">
      <c r="O3386" s="55" t="str">
        <f t="shared" si="57"/>
        <v>01</v>
      </c>
    </row>
    <row r="3387" spans="15:15" x14ac:dyDescent="0.25">
      <c r="O3387" s="55" t="str">
        <f t="shared" si="57"/>
        <v>01</v>
      </c>
    </row>
    <row r="3388" spans="15:15" x14ac:dyDescent="0.25">
      <c r="O3388" s="55" t="str">
        <f t="shared" si="57"/>
        <v>01</v>
      </c>
    </row>
    <row r="3389" spans="15:15" x14ac:dyDescent="0.25">
      <c r="O3389" s="55" t="str">
        <f t="shared" si="57"/>
        <v>01</v>
      </c>
    </row>
    <row r="3390" spans="15:15" x14ac:dyDescent="0.25">
      <c r="O3390" s="55" t="str">
        <f t="shared" si="57"/>
        <v>01</v>
      </c>
    </row>
    <row r="3391" spans="15:15" x14ac:dyDescent="0.25">
      <c r="O3391" s="55" t="str">
        <f t="shared" si="57"/>
        <v>01</v>
      </c>
    </row>
    <row r="3392" spans="15:15" x14ac:dyDescent="0.25">
      <c r="O3392" s="55" t="str">
        <f t="shared" si="57"/>
        <v>01</v>
      </c>
    </row>
    <row r="3393" spans="15:15" x14ac:dyDescent="0.25">
      <c r="O3393" s="55" t="str">
        <f t="shared" si="57"/>
        <v>01</v>
      </c>
    </row>
    <row r="3394" spans="15:15" x14ac:dyDescent="0.25">
      <c r="O3394" s="55" t="str">
        <f t="shared" si="57"/>
        <v>01</v>
      </c>
    </row>
    <row r="3395" spans="15:15" x14ac:dyDescent="0.25">
      <c r="O3395" s="55" t="str">
        <f t="shared" si="57"/>
        <v>01</v>
      </c>
    </row>
    <row r="3396" spans="15:15" x14ac:dyDescent="0.25">
      <c r="O3396" s="55" t="str">
        <f t="shared" si="57"/>
        <v>01</v>
      </c>
    </row>
    <row r="3397" spans="15:15" x14ac:dyDescent="0.25">
      <c r="O3397" s="55" t="str">
        <f t="shared" si="57"/>
        <v>01</v>
      </c>
    </row>
    <row r="3398" spans="15:15" x14ac:dyDescent="0.25">
      <c r="O3398" s="55" t="str">
        <f t="shared" si="57"/>
        <v>01</v>
      </c>
    </row>
    <row r="3399" spans="15:15" x14ac:dyDescent="0.25">
      <c r="O3399" s="55" t="str">
        <f t="shared" si="57"/>
        <v>01</v>
      </c>
    </row>
    <row r="3400" spans="15:15" x14ac:dyDescent="0.25">
      <c r="O3400" s="55" t="str">
        <f t="shared" si="57"/>
        <v>01</v>
      </c>
    </row>
    <row r="3401" spans="15:15" x14ac:dyDescent="0.25">
      <c r="O3401" s="55" t="str">
        <f t="shared" si="57"/>
        <v>01</v>
      </c>
    </row>
    <row r="3402" spans="15:15" x14ac:dyDescent="0.25">
      <c r="O3402" s="55" t="str">
        <f t="shared" si="57"/>
        <v>01</v>
      </c>
    </row>
    <row r="3403" spans="15:15" x14ac:dyDescent="0.25">
      <c r="O3403" s="55" t="str">
        <f t="shared" si="57"/>
        <v>01</v>
      </c>
    </row>
    <row r="3404" spans="15:15" x14ac:dyDescent="0.25">
      <c r="O3404" s="55" t="str">
        <f t="shared" si="57"/>
        <v>01</v>
      </c>
    </row>
    <row r="3405" spans="15:15" x14ac:dyDescent="0.25">
      <c r="O3405" s="55" t="str">
        <f t="shared" si="57"/>
        <v>01</v>
      </c>
    </row>
    <row r="3406" spans="15:15" x14ac:dyDescent="0.25">
      <c r="O3406" s="55" t="str">
        <f t="shared" si="57"/>
        <v>01</v>
      </c>
    </row>
    <row r="3407" spans="15:15" x14ac:dyDescent="0.25">
      <c r="O3407" s="55" t="str">
        <f t="shared" si="57"/>
        <v>01</v>
      </c>
    </row>
    <row r="3408" spans="15:15" x14ac:dyDescent="0.25">
      <c r="O3408" s="55" t="str">
        <f t="shared" si="57"/>
        <v>01</v>
      </c>
    </row>
    <row r="3409" spans="15:15" x14ac:dyDescent="0.25">
      <c r="O3409" s="55" t="str">
        <f t="shared" si="57"/>
        <v>01</v>
      </c>
    </row>
    <row r="3410" spans="15:15" x14ac:dyDescent="0.25">
      <c r="O3410" s="55" t="str">
        <f t="shared" si="57"/>
        <v>01</v>
      </c>
    </row>
    <row r="3411" spans="15:15" x14ac:dyDescent="0.25">
      <c r="O3411" s="55" t="str">
        <f t="shared" si="57"/>
        <v>01</v>
      </c>
    </row>
    <row r="3412" spans="15:15" x14ac:dyDescent="0.25">
      <c r="O3412" s="55" t="str">
        <f t="shared" si="57"/>
        <v>01</v>
      </c>
    </row>
    <row r="3413" spans="15:15" x14ac:dyDescent="0.25">
      <c r="O3413" s="55" t="str">
        <f t="shared" si="57"/>
        <v>01</v>
      </c>
    </row>
    <row r="3414" spans="15:15" x14ac:dyDescent="0.25">
      <c r="O3414" s="55" t="str">
        <f t="shared" si="57"/>
        <v>01</v>
      </c>
    </row>
    <row r="3415" spans="15:15" x14ac:dyDescent="0.25">
      <c r="O3415" s="55" t="str">
        <f t="shared" si="57"/>
        <v>01</v>
      </c>
    </row>
    <row r="3416" spans="15:15" x14ac:dyDescent="0.25">
      <c r="O3416" s="55" t="str">
        <f t="shared" si="57"/>
        <v>01</v>
      </c>
    </row>
    <row r="3417" spans="15:15" x14ac:dyDescent="0.25">
      <c r="O3417" s="55" t="str">
        <f t="shared" si="57"/>
        <v>01</v>
      </c>
    </row>
    <row r="3418" spans="15:15" x14ac:dyDescent="0.25">
      <c r="O3418" s="55" t="str">
        <f t="shared" ref="O3418:O3481" si="58">+TEXT(H3418,"MM")</f>
        <v>01</v>
      </c>
    </row>
    <row r="3419" spans="15:15" x14ac:dyDescent="0.25">
      <c r="O3419" s="55" t="str">
        <f t="shared" si="58"/>
        <v>01</v>
      </c>
    </row>
    <row r="3420" spans="15:15" x14ac:dyDescent="0.25">
      <c r="O3420" s="55" t="str">
        <f t="shared" si="58"/>
        <v>01</v>
      </c>
    </row>
    <row r="3421" spans="15:15" x14ac:dyDescent="0.25">
      <c r="O3421" s="55" t="str">
        <f t="shared" si="58"/>
        <v>01</v>
      </c>
    </row>
    <row r="3422" spans="15:15" x14ac:dyDescent="0.25">
      <c r="O3422" s="55" t="str">
        <f t="shared" si="58"/>
        <v>01</v>
      </c>
    </row>
    <row r="3423" spans="15:15" x14ac:dyDescent="0.25">
      <c r="O3423" s="55" t="str">
        <f t="shared" si="58"/>
        <v>01</v>
      </c>
    </row>
    <row r="3424" spans="15:15" x14ac:dyDescent="0.25">
      <c r="O3424" s="55" t="str">
        <f t="shared" si="58"/>
        <v>01</v>
      </c>
    </row>
    <row r="3425" spans="15:15" x14ac:dyDescent="0.25">
      <c r="O3425" s="55" t="str">
        <f t="shared" si="58"/>
        <v>01</v>
      </c>
    </row>
    <row r="3426" spans="15:15" x14ac:dyDescent="0.25">
      <c r="O3426" s="55" t="str">
        <f t="shared" si="58"/>
        <v>01</v>
      </c>
    </row>
    <row r="3427" spans="15:15" x14ac:dyDescent="0.25">
      <c r="O3427" s="55" t="str">
        <f t="shared" si="58"/>
        <v>01</v>
      </c>
    </row>
    <row r="3428" spans="15:15" x14ac:dyDescent="0.25">
      <c r="O3428" s="55" t="str">
        <f t="shared" si="58"/>
        <v>01</v>
      </c>
    </row>
    <row r="3429" spans="15:15" x14ac:dyDescent="0.25">
      <c r="O3429" s="55" t="str">
        <f t="shared" si="58"/>
        <v>01</v>
      </c>
    </row>
    <row r="3430" spans="15:15" x14ac:dyDescent="0.25">
      <c r="O3430" s="55" t="str">
        <f t="shared" si="58"/>
        <v>01</v>
      </c>
    </row>
    <row r="3431" spans="15:15" x14ac:dyDescent="0.25">
      <c r="O3431" s="55" t="str">
        <f t="shared" si="58"/>
        <v>01</v>
      </c>
    </row>
    <row r="3432" spans="15:15" x14ac:dyDescent="0.25">
      <c r="O3432" s="55" t="str">
        <f t="shared" si="58"/>
        <v>01</v>
      </c>
    </row>
    <row r="3433" spans="15:15" x14ac:dyDescent="0.25">
      <c r="O3433" s="55" t="str">
        <f t="shared" si="58"/>
        <v>01</v>
      </c>
    </row>
    <row r="3434" spans="15:15" x14ac:dyDescent="0.25">
      <c r="O3434" s="55" t="str">
        <f t="shared" si="58"/>
        <v>01</v>
      </c>
    </row>
    <row r="3435" spans="15:15" x14ac:dyDescent="0.25">
      <c r="O3435" s="55" t="str">
        <f t="shared" si="58"/>
        <v>01</v>
      </c>
    </row>
    <row r="3436" spans="15:15" x14ac:dyDescent="0.25">
      <c r="O3436" s="55" t="str">
        <f t="shared" si="58"/>
        <v>01</v>
      </c>
    </row>
    <row r="3437" spans="15:15" x14ac:dyDescent="0.25">
      <c r="O3437" s="55" t="str">
        <f t="shared" si="58"/>
        <v>01</v>
      </c>
    </row>
    <row r="3438" spans="15:15" x14ac:dyDescent="0.25">
      <c r="O3438" s="55" t="str">
        <f t="shared" si="58"/>
        <v>01</v>
      </c>
    </row>
    <row r="3439" spans="15:15" x14ac:dyDescent="0.25">
      <c r="O3439" s="55" t="str">
        <f t="shared" si="58"/>
        <v>01</v>
      </c>
    </row>
    <row r="3440" spans="15:15" x14ac:dyDescent="0.25">
      <c r="O3440" s="55" t="str">
        <f t="shared" si="58"/>
        <v>01</v>
      </c>
    </row>
    <row r="3441" spans="15:15" x14ac:dyDescent="0.25">
      <c r="O3441" s="55" t="str">
        <f t="shared" si="58"/>
        <v>01</v>
      </c>
    </row>
    <row r="3442" spans="15:15" x14ac:dyDescent="0.25">
      <c r="O3442" s="55" t="str">
        <f t="shared" si="58"/>
        <v>01</v>
      </c>
    </row>
    <row r="3443" spans="15:15" x14ac:dyDescent="0.25">
      <c r="O3443" s="55" t="str">
        <f t="shared" si="58"/>
        <v>01</v>
      </c>
    </row>
    <row r="3444" spans="15:15" x14ac:dyDescent="0.25">
      <c r="O3444" s="55" t="str">
        <f t="shared" si="58"/>
        <v>01</v>
      </c>
    </row>
    <row r="3445" spans="15:15" x14ac:dyDescent="0.25">
      <c r="O3445" s="55" t="str">
        <f t="shared" si="58"/>
        <v>01</v>
      </c>
    </row>
    <row r="3446" spans="15:15" x14ac:dyDescent="0.25">
      <c r="O3446" s="55" t="str">
        <f t="shared" si="58"/>
        <v>01</v>
      </c>
    </row>
    <row r="3447" spans="15:15" x14ac:dyDescent="0.25">
      <c r="O3447" s="55" t="str">
        <f t="shared" si="58"/>
        <v>01</v>
      </c>
    </row>
    <row r="3448" spans="15:15" x14ac:dyDescent="0.25">
      <c r="O3448" s="55" t="str">
        <f t="shared" si="58"/>
        <v>01</v>
      </c>
    </row>
    <row r="3449" spans="15:15" x14ac:dyDescent="0.25">
      <c r="O3449" s="55" t="str">
        <f t="shared" si="58"/>
        <v>01</v>
      </c>
    </row>
    <row r="3450" spans="15:15" x14ac:dyDescent="0.25">
      <c r="O3450" s="55" t="str">
        <f t="shared" si="58"/>
        <v>01</v>
      </c>
    </row>
    <row r="3451" spans="15:15" x14ac:dyDescent="0.25">
      <c r="O3451" s="55" t="str">
        <f t="shared" si="58"/>
        <v>01</v>
      </c>
    </row>
    <row r="3452" spans="15:15" x14ac:dyDescent="0.25">
      <c r="O3452" s="55" t="str">
        <f t="shared" si="58"/>
        <v>01</v>
      </c>
    </row>
    <row r="3453" spans="15:15" x14ac:dyDescent="0.25">
      <c r="O3453" s="55" t="str">
        <f t="shared" si="58"/>
        <v>01</v>
      </c>
    </row>
    <row r="3454" spans="15:15" x14ac:dyDescent="0.25">
      <c r="O3454" s="55" t="str">
        <f t="shared" si="58"/>
        <v>01</v>
      </c>
    </row>
    <row r="3455" spans="15:15" x14ac:dyDescent="0.25">
      <c r="O3455" s="55" t="str">
        <f t="shared" si="58"/>
        <v>01</v>
      </c>
    </row>
    <row r="3456" spans="15:15" x14ac:dyDescent="0.25">
      <c r="O3456" s="55" t="str">
        <f t="shared" si="58"/>
        <v>01</v>
      </c>
    </row>
    <row r="3457" spans="15:15" x14ac:dyDescent="0.25">
      <c r="O3457" s="55" t="str">
        <f t="shared" si="58"/>
        <v>01</v>
      </c>
    </row>
    <row r="3458" spans="15:15" x14ac:dyDescent="0.25">
      <c r="O3458" s="55" t="str">
        <f t="shared" si="58"/>
        <v>01</v>
      </c>
    </row>
    <row r="3459" spans="15:15" x14ac:dyDescent="0.25">
      <c r="O3459" s="55" t="str">
        <f t="shared" si="58"/>
        <v>01</v>
      </c>
    </row>
    <row r="3460" spans="15:15" x14ac:dyDescent="0.25">
      <c r="O3460" s="55" t="str">
        <f t="shared" si="58"/>
        <v>01</v>
      </c>
    </row>
    <row r="3461" spans="15:15" x14ac:dyDescent="0.25">
      <c r="O3461" s="55" t="str">
        <f t="shared" si="58"/>
        <v>01</v>
      </c>
    </row>
    <row r="3462" spans="15:15" x14ac:dyDescent="0.25">
      <c r="O3462" s="55" t="str">
        <f t="shared" si="58"/>
        <v>01</v>
      </c>
    </row>
    <row r="3463" spans="15:15" x14ac:dyDescent="0.25">
      <c r="O3463" s="55" t="str">
        <f t="shared" si="58"/>
        <v>01</v>
      </c>
    </row>
    <row r="3464" spans="15:15" x14ac:dyDescent="0.25">
      <c r="O3464" s="55" t="str">
        <f t="shared" si="58"/>
        <v>01</v>
      </c>
    </row>
    <row r="3465" spans="15:15" x14ac:dyDescent="0.25">
      <c r="O3465" s="55" t="str">
        <f t="shared" si="58"/>
        <v>01</v>
      </c>
    </row>
    <row r="3466" spans="15:15" x14ac:dyDescent="0.25">
      <c r="O3466" s="55" t="str">
        <f t="shared" si="58"/>
        <v>01</v>
      </c>
    </row>
    <row r="3467" spans="15:15" x14ac:dyDescent="0.25">
      <c r="O3467" s="55" t="str">
        <f t="shared" si="58"/>
        <v>01</v>
      </c>
    </row>
    <row r="3468" spans="15:15" x14ac:dyDescent="0.25">
      <c r="O3468" s="55" t="str">
        <f t="shared" si="58"/>
        <v>01</v>
      </c>
    </row>
    <row r="3469" spans="15:15" x14ac:dyDescent="0.25">
      <c r="O3469" s="55" t="str">
        <f t="shared" si="58"/>
        <v>01</v>
      </c>
    </row>
    <row r="3470" spans="15:15" x14ac:dyDescent="0.25">
      <c r="O3470" s="55" t="str">
        <f t="shared" si="58"/>
        <v>01</v>
      </c>
    </row>
    <row r="3471" spans="15:15" x14ac:dyDescent="0.25">
      <c r="O3471" s="55" t="str">
        <f t="shared" si="58"/>
        <v>01</v>
      </c>
    </row>
    <row r="3472" spans="15:15" x14ac:dyDescent="0.25">
      <c r="O3472" s="55" t="str">
        <f t="shared" si="58"/>
        <v>01</v>
      </c>
    </row>
    <row r="3473" spans="15:15" x14ac:dyDescent="0.25">
      <c r="O3473" s="55" t="str">
        <f t="shared" si="58"/>
        <v>01</v>
      </c>
    </row>
    <row r="3474" spans="15:15" x14ac:dyDescent="0.25">
      <c r="O3474" s="55" t="str">
        <f t="shared" si="58"/>
        <v>01</v>
      </c>
    </row>
    <row r="3475" spans="15:15" x14ac:dyDescent="0.25">
      <c r="O3475" s="55" t="str">
        <f t="shared" si="58"/>
        <v>01</v>
      </c>
    </row>
    <row r="3476" spans="15:15" x14ac:dyDescent="0.25">
      <c r="O3476" s="55" t="str">
        <f t="shared" si="58"/>
        <v>01</v>
      </c>
    </row>
    <row r="3477" spans="15:15" x14ac:dyDescent="0.25">
      <c r="O3477" s="55" t="str">
        <f t="shared" si="58"/>
        <v>01</v>
      </c>
    </row>
    <row r="3478" spans="15:15" x14ac:dyDescent="0.25">
      <c r="O3478" s="55" t="str">
        <f t="shared" si="58"/>
        <v>01</v>
      </c>
    </row>
    <row r="3479" spans="15:15" x14ac:dyDescent="0.25">
      <c r="O3479" s="55" t="str">
        <f t="shared" si="58"/>
        <v>01</v>
      </c>
    </row>
    <row r="3480" spans="15:15" x14ac:dyDescent="0.25">
      <c r="O3480" s="55" t="str">
        <f t="shared" si="58"/>
        <v>01</v>
      </c>
    </row>
    <row r="3481" spans="15:15" x14ac:dyDescent="0.25">
      <c r="O3481" s="55" t="str">
        <f t="shared" si="58"/>
        <v>01</v>
      </c>
    </row>
    <row r="3482" spans="15:15" x14ac:dyDescent="0.25">
      <c r="O3482" s="55" t="str">
        <f t="shared" ref="O3482:O3545" si="59">+TEXT(H3482,"MM")</f>
        <v>01</v>
      </c>
    </row>
    <row r="3483" spans="15:15" x14ac:dyDescent="0.25">
      <c r="O3483" s="55" t="str">
        <f t="shared" si="59"/>
        <v>01</v>
      </c>
    </row>
    <row r="3484" spans="15:15" x14ac:dyDescent="0.25">
      <c r="O3484" s="55" t="str">
        <f t="shared" si="59"/>
        <v>01</v>
      </c>
    </row>
    <row r="3485" spans="15:15" x14ac:dyDescent="0.25">
      <c r="O3485" s="55" t="str">
        <f t="shared" si="59"/>
        <v>01</v>
      </c>
    </row>
    <row r="3486" spans="15:15" x14ac:dyDescent="0.25">
      <c r="O3486" s="55" t="str">
        <f t="shared" si="59"/>
        <v>01</v>
      </c>
    </row>
    <row r="3487" spans="15:15" x14ac:dyDescent="0.25">
      <c r="O3487" s="55" t="str">
        <f t="shared" si="59"/>
        <v>01</v>
      </c>
    </row>
    <row r="3488" spans="15:15" x14ac:dyDescent="0.25">
      <c r="O3488" s="55" t="str">
        <f t="shared" si="59"/>
        <v>01</v>
      </c>
    </row>
    <row r="3489" spans="15:15" x14ac:dyDescent="0.25">
      <c r="O3489" s="55" t="str">
        <f t="shared" si="59"/>
        <v>01</v>
      </c>
    </row>
    <row r="3490" spans="15:15" x14ac:dyDescent="0.25">
      <c r="O3490" s="55" t="str">
        <f t="shared" si="59"/>
        <v>01</v>
      </c>
    </row>
    <row r="3491" spans="15:15" x14ac:dyDescent="0.25">
      <c r="O3491" s="55" t="str">
        <f t="shared" si="59"/>
        <v>01</v>
      </c>
    </row>
    <row r="3492" spans="15:15" x14ac:dyDescent="0.25">
      <c r="O3492" s="55" t="str">
        <f t="shared" si="59"/>
        <v>01</v>
      </c>
    </row>
    <row r="3493" spans="15:15" x14ac:dyDescent="0.25">
      <c r="O3493" s="55" t="str">
        <f t="shared" si="59"/>
        <v>01</v>
      </c>
    </row>
    <row r="3494" spans="15:15" x14ac:dyDescent="0.25">
      <c r="O3494" s="55" t="str">
        <f t="shared" si="59"/>
        <v>01</v>
      </c>
    </row>
    <row r="3495" spans="15:15" x14ac:dyDescent="0.25">
      <c r="O3495" s="55" t="str">
        <f t="shared" si="59"/>
        <v>01</v>
      </c>
    </row>
    <row r="3496" spans="15:15" x14ac:dyDescent="0.25">
      <c r="O3496" s="55" t="str">
        <f t="shared" si="59"/>
        <v>01</v>
      </c>
    </row>
    <row r="3497" spans="15:15" x14ac:dyDescent="0.25">
      <c r="O3497" s="55" t="str">
        <f t="shared" si="59"/>
        <v>01</v>
      </c>
    </row>
    <row r="3498" spans="15:15" x14ac:dyDescent="0.25">
      <c r="O3498" s="55" t="str">
        <f t="shared" si="59"/>
        <v>01</v>
      </c>
    </row>
    <row r="3499" spans="15:15" x14ac:dyDescent="0.25">
      <c r="O3499" s="55" t="str">
        <f t="shared" si="59"/>
        <v>01</v>
      </c>
    </row>
    <row r="3500" spans="15:15" x14ac:dyDescent="0.25">
      <c r="O3500" s="55" t="str">
        <f t="shared" si="59"/>
        <v>01</v>
      </c>
    </row>
    <row r="3501" spans="15:15" x14ac:dyDescent="0.25">
      <c r="O3501" s="55" t="str">
        <f t="shared" si="59"/>
        <v>01</v>
      </c>
    </row>
    <row r="3502" spans="15:15" x14ac:dyDescent="0.25">
      <c r="O3502" s="55" t="str">
        <f t="shared" si="59"/>
        <v>01</v>
      </c>
    </row>
    <row r="3503" spans="15:15" x14ac:dyDescent="0.25">
      <c r="O3503" s="55" t="str">
        <f t="shared" si="59"/>
        <v>01</v>
      </c>
    </row>
    <row r="3504" spans="15:15" x14ac:dyDescent="0.25">
      <c r="O3504" s="55" t="str">
        <f t="shared" si="59"/>
        <v>01</v>
      </c>
    </row>
    <row r="3505" spans="15:15" x14ac:dyDescent="0.25">
      <c r="O3505" s="55" t="str">
        <f t="shared" si="59"/>
        <v>01</v>
      </c>
    </row>
    <row r="3506" spans="15:15" x14ac:dyDescent="0.25">
      <c r="O3506" s="55" t="str">
        <f t="shared" si="59"/>
        <v>01</v>
      </c>
    </row>
    <row r="3507" spans="15:15" x14ac:dyDescent="0.25">
      <c r="O3507" s="55" t="str">
        <f t="shared" si="59"/>
        <v>01</v>
      </c>
    </row>
    <row r="3508" spans="15:15" x14ac:dyDescent="0.25">
      <c r="O3508" s="55" t="str">
        <f t="shared" si="59"/>
        <v>01</v>
      </c>
    </row>
    <row r="3509" spans="15:15" x14ac:dyDescent="0.25">
      <c r="O3509" s="55" t="str">
        <f t="shared" si="59"/>
        <v>01</v>
      </c>
    </row>
    <row r="3510" spans="15:15" x14ac:dyDescent="0.25">
      <c r="O3510" s="55" t="str">
        <f t="shared" si="59"/>
        <v>01</v>
      </c>
    </row>
    <row r="3511" spans="15:15" x14ac:dyDescent="0.25">
      <c r="O3511" s="55" t="str">
        <f t="shared" si="59"/>
        <v>01</v>
      </c>
    </row>
    <row r="3512" spans="15:15" x14ac:dyDescent="0.25">
      <c r="O3512" s="55" t="str">
        <f t="shared" si="59"/>
        <v>01</v>
      </c>
    </row>
    <row r="3513" spans="15:15" x14ac:dyDescent="0.25">
      <c r="O3513" s="55" t="str">
        <f t="shared" si="59"/>
        <v>01</v>
      </c>
    </row>
    <row r="3514" spans="15:15" x14ac:dyDescent="0.25">
      <c r="O3514" s="55" t="str">
        <f t="shared" si="59"/>
        <v>01</v>
      </c>
    </row>
    <row r="3515" spans="15:15" x14ac:dyDescent="0.25">
      <c r="O3515" s="55" t="str">
        <f t="shared" si="59"/>
        <v>01</v>
      </c>
    </row>
    <row r="3516" spans="15:15" x14ac:dyDescent="0.25">
      <c r="O3516" s="55" t="str">
        <f t="shared" si="59"/>
        <v>01</v>
      </c>
    </row>
    <row r="3517" spans="15:15" x14ac:dyDescent="0.25">
      <c r="O3517" s="55" t="str">
        <f t="shared" si="59"/>
        <v>01</v>
      </c>
    </row>
    <row r="3518" spans="15:15" x14ac:dyDescent="0.25">
      <c r="O3518" s="55" t="str">
        <f t="shared" si="59"/>
        <v>01</v>
      </c>
    </row>
    <row r="3519" spans="15:15" x14ac:dyDescent="0.25">
      <c r="O3519" s="55" t="str">
        <f t="shared" si="59"/>
        <v>01</v>
      </c>
    </row>
    <row r="3520" spans="15:15" x14ac:dyDescent="0.25">
      <c r="O3520" s="55" t="str">
        <f t="shared" si="59"/>
        <v>01</v>
      </c>
    </row>
    <row r="3521" spans="15:15" x14ac:dyDescent="0.25">
      <c r="O3521" s="55" t="str">
        <f t="shared" si="59"/>
        <v>01</v>
      </c>
    </row>
    <row r="3522" spans="15:15" x14ac:dyDescent="0.25">
      <c r="O3522" s="55" t="str">
        <f t="shared" si="59"/>
        <v>01</v>
      </c>
    </row>
    <row r="3523" spans="15:15" x14ac:dyDescent="0.25">
      <c r="O3523" s="55" t="str">
        <f t="shared" si="59"/>
        <v>01</v>
      </c>
    </row>
    <row r="3524" spans="15:15" x14ac:dyDescent="0.25">
      <c r="O3524" s="55" t="str">
        <f t="shared" si="59"/>
        <v>01</v>
      </c>
    </row>
    <row r="3525" spans="15:15" x14ac:dyDescent="0.25">
      <c r="O3525" s="55" t="str">
        <f t="shared" si="59"/>
        <v>01</v>
      </c>
    </row>
    <row r="3526" spans="15:15" x14ac:dyDescent="0.25">
      <c r="O3526" s="55" t="str">
        <f t="shared" si="59"/>
        <v>01</v>
      </c>
    </row>
    <row r="3527" spans="15:15" x14ac:dyDescent="0.25">
      <c r="O3527" s="55" t="str">
        <f t="shared" si="59"/>
        <v>01</v>
      </c>
    </row>
    <row r="3528" spans="15:15" x14ac:dyDescent="0.25">
      <c r="O3528" s="55" t="str">
        <f t="shared" si="59"/>
        <v>01</v>
      </c>
    </row>
    <row r="3529" spans="15:15" x14ac:dyDescent="0.25">
      <c r="O3529" s="55" t="str">
        <f t="shared" si="59"/>
        <v>01</v>
      </c>
    </row>
    <row r="3530" spans="15:15" x14ac:dyDescent="0.25">
      <c r="O3530" s="55" t="str">
        <f t="shared" si="59"/>
        <v>01</v>
      </c>
    </row>
    <row r="3531" spans="15:15" x14ac:dyDescent="0.25">
      <c r="O3531" s="55" t="str">
        <f t="shared" si="59"/>
        <v>01</v>
      </c>
    </row>
    <row r="3532" spans="15:15" x14ac:dyDescent="0.25">
      <c r="O3532" s="55" t="str">
        <f t="shared" si="59"/>
        <v>01</v>
      </c>
    </row>
    <row r="3533" spans="15:15" x14ac:dyDescent="0.25">
      <c r="O3533" s="55" t="str">
        <f t="shared" si="59"/>
        <v>01</v>
      </c>
    </row>
    <row r="3534" spans="15:15" x14ac:dyDescent="0.25">
      <c r="O3534" s="55" t="str">
        <f t="shared" si="59"/>
        <v>01</v>
      </c>
    </row>
    <row r="3535" spans="15:15" x14ac:dyDescent="0.25">
      <c r="O3535" s="55" t="str">
        <f t="shared" si="59"/>
        <v>01</v>
      </c>
    </row>
    <row r="3536" spans="15:15" x14ac:dyDescent="0.25">
      <c r="O3536" s="55" t="str">
        <f t="shared" si="59"/>
        <v>01</v>
      </c>
    </row>
    <row r="3537" spans="15:15" x14ac:dyDescent="0.25">
      <c r="O3537" s="55" t="str">
        <f t="shared" si="59"/>
        <v>01</v>
      </c>
    </row>
    <row r="3538" spans="15:15" x14ac:dyDescent="0.25">
      <c r="O3538" s="55" t="str">
        <f t="shared" si="59"/>
        <v>01</v>
      </c>
    </row>
    <row r="3539" spans="15:15" x14ac:dyDescent="0.25">
      <c r="O3539" s="55" t="str">
        <f t="shared" si="59"/>
        <v>01</v>
      </c>
    </row>
    <row r="3540" spans="15:15" x14ac:dyDescent="0.25">
      <c r="O3540" s="55" t="str">
        <f t="shared" si="59"/>
        <v>01</v>
      </c>
    </row>
    <row r="3541" spans="15:15" x14ac:dyDescent="0.25">
      <c r="O3541" s="55" t="str">
        <f t="shared" si="59"/>
        <v>01</v>
      </c>
    </row>
    <row r="3542" spans="15:15" x14ac:dyDescent="0.25">
      <c r="O3542" s="55" t="str">
        <f t="shared" si="59"/>
        <v>01</v>
      </c>
    </row>
    <row r="3543" spans="15:15" x14ac:dyDescent="0.25">
      <c r="O3543" s="55" t="str">
        <f t="shared" si="59"/>
        <v>01</v>
      </c>
    </row>
    <row r="3544" spans="15:15" x14ac:dyDescent="0.25">
      <c r="O3544" s="55" t="str">
        <f t="shared" si="59"/>
        <v>01</v>
      </c>
    </row>
    <row r="3545" spans="15:15" x14ac:dyDescent="0.25">
      <c r="O3545" s="55" t="str">
        <f t="shared" si="59"/>
        <v>01</v>
      </c>
    </row>
    <row r="3546" spans="15:15" x14ac:dyDescent="0.25">
      <c r="O3546" s="55" t="str">
        <f t="shared" ref="O3546:O3609" si="60">+TEXT(H3546,"MM")</f>
        <v>01</v>
      </c>
    </row>
    <row r="3547" spans="15:15" x14ac:dyDescent="0.25">
      <c r="O3547" s="55" t="str">
        <f t="shared" si="60"/>
        <v>01</v>
      </c>
    </row>
    <row r="3548" spans="15:15" x14ac:dyDescent="0.25">
      <c r="O3548" s="55" t="str">
        <f t="shared" si="60"/>
        <v>01</v>
      </c>
    </row>
    <row r="3549" spans="15:15" x14ac:dyDescent="0.25">
      <c r="O3549" s="55" t="str">
        <f t="shared" si="60"/>
        <v>01</v>
      </c>
    </row>
    <row r="3550" spans="15:15" x14ac:dyDescent="0.25">
      <c r="O3550" s="55" t="str">
        <f t="shared" si="60"/>
        <v>01</v>
      </c>
    </row>
    <row r="3551" spans="15:15" x14ac:dyDescent="0.25">
      <c r="O3551" s="55" t="str">
        <f t="shared" si="60"/>
        <v>01</v>
      </c>
    </row>
    <row r="3552" spans="15:15" x14ac:dyDescent="0.25">
      <c r="O3552" s="55" t="str">
        <f t="shared" si="60"/>
        <v>01</v>
      </c>
    </row>
    <row r="3553" spans="15:15" x14ac:dyDescent="0.25">
      <c r="O3553" s="55" t="str">
        <f t="shared" si="60"/>
        <v>01</v>
      </c>
    </row>
    <row r="3554" spans="15:15" x14ac:dyDescent="0.25">
      <c r="O3554" s="55" t="str">
        <f t="shared" si="60"/>
        <v>01</v>
      </c>
    </row>
    <row r="3555" spans="15:15" x14ac:dyDescent="0.25">
      <c r="O3555" s="55" t="str">
        <f t="shared" si="60"/>
        <v>01</v>
      </c>
    </row>
    <row r="3556" spans="15:15" x14ac:dyDescent="0.25">
      <c r="O3556" s="55" t="str">
        <f t="shared" si="60"/>
        <v>01</v>
      </c>
    </row>
    <row r="3557" spans="15:15" x14ac:dyDescent="0.25">
      <c r="O3557" s="55" t="str">
        <f t="shared" si="60"/>
        <v>01</v>
      </c>
    </row>
    <row r="3558" spans="15:15" x14ac:dyDescent="0.25">
      <c r="O3558" s="55" t="str">
        <f t="shared" si="60"/>
        <v>01</v>
      </c>
    </row>
    <row r="3559" spans="15:15" x14ac:dyDescent="0.25">
      <c r="O3559" s="55" t="str">
        <f t="shared" si="60"/>
        <v>01</v>
      </c>
    </row>
    <row r="3560" spans="15:15" x14ac:dyDescent="0.25">
      <c r="O3560" s="55" t="str">
        <f t="shared" si="60"/>
        <v>01</v>
      </c>
    </row>
    <row r="3561" spans="15:15" x14ac:dyDescent="0.25">
      <c r="O3561" s="55" t="str">
        <f t="shared" si="60"/>
        <v>01</v>
      </c>
    </row>
    <row r="3562" spans="15:15" x14ac:dyDescent="0.25">
      <c r="O3562" s="55" t="str">
        <f t="shared" si="60"/>
        <v>01</v>
      </c>
    </row>
    <row r="3563" spans="15:15" x14ac:dyDescent="0.25">
      <c r="O3563" s="55" t="str">
        <f t="shared" si="60"/>
        <v>01</v>
      </c>
    </row>
    <row r="3564" spans="15:15" x14ac:dyDescent="0.25">
      <c r="O3564" s="55" t="str">
        <f t="shared" si="60"/>
        <v>01</v>
      </c>
    </row>
    <row r="3565" spans="15:15" x14ac:dyDescent="0.25">
      <c r="O3565" s="55" t="str">
        <f t="shared" si="60"/>
        <v>01</v>
      </c>
    </row>
    <row r="3566" spans="15:15" x14ac:dyDescent="0.25">
      <c r="O3566" s="55" t="str">
        <f t="shared" si="60"/>
        <v>01</v>
      </c>
    </row>
    <row r="3567" spans="15:15" x14ac:dyDescent="0.25">
      <c r="O3567" s="55" t="str">
        <f t="shared" si="60"/>
        <v>01</v>
      </c>
    </row>
    <row r="3568" spans="15:15" x14ac:dyDescent="0.25">
      <c r="O3568" s="55" t="str">
        <f t="shared" si="60"/>
        <v>01</v>
      </c>
    </row>
    <row r="3569" spans="15:15" x14ac:dyDescent="0.25">
      <c r="O3569" s="55" t="str">
        <f t="shared" si="60"/>
        <v>01</v>
      </c>
    </row>
    <row r="3570" spans="15:15" x14ac:dyDescent="0.25">
      <c r="O3570" s="55" t="str">
        <f t="shared" si="60"/>
        <v>01</v>
      </c>
    </row>
    <row r="3571" spans="15:15" x14ac:dyDescent="0.25">
      <c r="O3571" s="55" t="str">
        <f t="shared" si="60"/>
        <v>01</v>
      </c>
    </row>
    <row r="3572" spans="15:15" x14ac:dyDescent="0.25">
      <c r="O3572" s="55" t="str">
        <f t="shared" si="60"/>
        <v>01</v>
      </c>
    </row>
    <row r="3573" spans="15:15" x14ac:dyDescent="0.25">
      <c r="O3573" s="55" t="str">
        <f t="shared" si="60"/>
        <v>01</v>
      </c>
    </row>
    <row r="3574" spans="15:15" x14ac:dyDescent="0.25">
      <c r="O3574" s="55" t="str">
        <f t="shared" si="60"/>
        <v>01</v>
      </c>
    </row>
    <row r="3575" spans="15:15" x14ac:dyDescent="0.25">
      <c r="O3575" s="55" t="str">
        <f t="shared" si="60"/>
        <v>01</v>
      </c>
    </row>
    <row r="3576" spans="15:15" x14ac:dyDescent="0.25">
      <c r="O3576" s="55" t="str">
        <f t="shared" si="60"/>
        <v>01</v>
      </c>
    </row>
    <row r="3577" spans="15:15" x14ac:dyDescent="0.25">
      <c r="O3577" s="55" t="str">
        <f t="shared" si="60"/>
        <v>01</v>
      </c>
    </row>
    <row r="3578" spans="15:15" x14ac:dyDescent="0.25">
      <c r="O3578" s="55" t="str">
        <f t="shared" si="60"/>
        <v>01</v>
      </c>
    </row>
    <row r="3579" spans="15:15" x14ac:dyDescent="0.25">
      <c r="O3579" s="55" t="str">
        <f t="shared" si="60"/>
        <v>01</v>
      </c>
    </row>
    <row r="3580" spans="15:15" x14ac:dyDescent="0.25">
      <c r="O3580" s="55" t="str">
        <f t="shared" si="60"/>
        <v>01</v>
      </c>
    </row>
    <row r="3581" spans="15:15" x14ac:dyDescent="0.25">
      <c r="O3581" s="55" t="str">
        <f t="shared" si="60"/>
        <v>01</v>
      </c>
    </row>
    <row r="3582" spans="15:15" x14ac:dyDescent="0.25">
      <c r="O3582" s="55" t="str">
        <f t="shared" si="60"/>
        <v>01</v>
      </c>
    </row>
    <row r="3583" spans="15:15" x14ac:dyDescent="0.25">
      <c r="O3583" s="55" t="str">
        <f t="shared" si="60"/>
        <v>01</v>
      </c>
    </row>
    <row r="3584" spans="15:15" x14ac:dyDescent="0.25">
      <c r="O3584" s="55" t="str">
        <f t="shared" si="60"/>
        <v>01</v>
      </c>
    </row>
    <row r="3585" spans="15:15" x14ac:dyDescent="0.25">
      <c r="O3585" s="55" t="str">
        <f t="shared" si="60"/>
        <v>01</v>
      </c>
    </row>
    <row r="3586" spans="15:15" x14ac:dyDescent="0.25">
      <c r="O3586" s="55" t="str">
        <f t="shared" si="60"/>
        <v>01</v>
      </c>
    </row>
    <row r="3587" spans="15:15" x14ac:dyDescent="0.25">
      <c r="O3587" s="55" t="str">
        <f t="shared" si="60"/>
        <v>01</v>
      </c>
    </row>
    <row r="3588" spans="15:15" x14ac:dyDescent="0.25">
      <c r="O3588" s="55" t="str">
        <f t="shared" si="60"/>
        <v>01</v>
      </c>
    </row>
    <row r="3589" spans="15:15" x14ac:dyDescent="0.25">
      <c r="O3589" s="55" t="str">
        <f t="shared" si="60"/>
        <v>01</v>
      </c>
    </row>
    <row r="3590" spans="15:15" x14ac:dyDescent="0.25">
      <c r="O3590" s="55" t="str">
        <f t="shared" si="60"/>
        <v>01</v>
      </c>
    </row>
    <row r="3591" spans="15:15" x14ac:dyDescent="0.25">
      <c r="O3591" s="55" t="str">
        <f t="shared" si="60"/>
        <v>01</v>
      </c>
    </row>
    <row r="3592" spans="15:15" x14ac:dyDescent="0.25">
      <c r="O3592" s="55" t="str">
        <f t="shared" si="60"/>
        <v>01</v>
      </c>
    </row>
    <row r="3593" spans="15:15" x14ac:dyDescent="0.25">
      <c r="O3593" s="55" t="str">
        <f t="shared" si="60"/>
        <v>01</v>
      </c>
    </row>
    <row r="3594" spans="15:15" x14ac:dyDescent="0.25">
      <c r="O3594" s="55" t="str">
        <f t="shared" si="60"/>
        <v>01</v>
      </c>
    </row>
    <row r="3595" spans="15:15" x14ac:dyDescent="0.25">
      <c r="O3595" s="55" t="str">
        <f t="shared" si="60"/>
        <v>01</v>
      </c>
    </row>
    <row r="3596" spans="15:15" x14ac:dyDescent="0.25">
      <c r="O3596" s="55" t="str">
        <f t="shared" si="60"/>
        <v>01</v>
      </c>
    </row>
    <row r="3597" spans="15:15" x14ac:dyDescent="0.25">
      <c r="O3597" s="55" t="str">
        <f t="shared" si="60"/>
        <v>01</v>
      </c>
    </row>
    <row r="3598" spans="15:15" x14ac:dyDescent="0.25">
      <c r="O3598" s="55" t="str">
        <f t="shared" si="60"/>
        <v>01</v>
      </c>
    </row>
    <row r="3599" spans="15:15" x14ac:dyDescent="0.25">
      <c r="O3599" s="55" t="str">
        <f t="shared" si="60"/>
        <v>01</v>
      </c>
    </row>
    <row r="3600" spans="15:15" x14ac:dyDescent="0.25">
      <c r="O3600" s="55" t="str">
        <f t="shared" si="60"/>
        <v>01</v>
      </c>
    </row>
    <row r="3601" spans="15:15" x14ac:dyDescent="0.25">
      <c r="O3601" s="55" t="str">
        <f t="shared" si="60"/>
        <v>01</v>
      </c>
    </row>
    <row r="3602" spans="15:15" x14ac:dyDescent="0.25">
      <c r="O3602" s="55" t="str">
        <f t="shared" si="60"/>
        <v>01</v>
      </c>
    </row>
    <row r="3603" spans="15:15" x14ac:dyDescent="0.25">
      <c r="O3603" s="55" t="str">
        <f t="shared" si="60"/>
        <v>01</v>
      </c>
    </row>
    <row r="3604" spans="15:15" x14ac:dyDescent="0.25">
      <c r="O3604" s="55" t="str">
        <f t="shared" si="60"/>
        <v>01</v>
      </c>
    </row>
    <row r="3605" spans="15:15" x14ac:dyDescent="0.25">
      <c r="O3605" s="55" t="str">
        <f t="shared" si="60"/>
        <v>01</v>
      </c>
    </row>
    <row r="3606" spans="15:15" x14ac:dyDescent="0.25">
      <c r="O3606" s="55" t="str">
        <f t="shared" si="60"/>
        <v>01</v>
      </c>
    </row>
    <row r="3607" spans="15:15" x14ac:dyDescent="0.25">
      <c r="O3607" s="55" t="str">
        <f t="shared" si="60"/>
        <v>01</v>
      </c>
    </row>
    <row r="3608" spans="15:15" x14ac:dyDescent="0.25">
      <c r="O3608" s="55" t="str">
        <f t="shared" si="60"/>
        <v>01</v>
      </c>
    </row>
    <row r="3609" spans="15:15" x14ac:dyDescent="0.25">
      <c r="O3609" s="55" t="str">
        <f t="shared" si="60"/>
        <v>01</v>
      </c>
    </row>
    <row r="3610" spans="15:15" x14ac:dyDescent="0.25">
      <c r="O3610" s="55" t="str">
        <f t="shared" ref="O3610:O3673" si="61">+TEXT(H3610,"MM")</f>
        <v>01</v>
      </c>
    </row>
    <row r="3611" spans="15:15" x14ac:dyDescent="0.25">
      <c r="O3611" s="55" t="str">
        <f t="shared" si="61"/>
        <v>01</v>
      </c>
    </row>
    <row r="3612" spans="15:15" x14ac:dyDescent="0.25">
      <c r="O3612" s="55" t="str">
        <f t="shared" si="61"/>
        <v>01</v>
      </c>
    </row>
    <row r="3613" spans="15:15" x14ac:dyDescent="0.25">
      <c r="O3613" s="55" t="str">
        <f t="shared" si="61"/>
        <v>01</v>
      </c>
    </row>
    <row r="3614" spans="15:15" x14ac:dyDescent="0.25">
      <c r="O3614" s="55" t="str">
        <f t="shared" si="61"/>
        <v>01</v>
      </c>
    </row>
    <row r="3615" spans="15:15" x14ac:dyDescent="0.25">
      <c r="O3615" s="55" t="str">
        <f t="shared" si="61"/>
        <v>01</v>
      </c>
    </row>
    <row r="3616" spans="15:15" x14ac:dyDescent="0.25">
      <c r="O3616" s="55" t="str">
        <f t="shared" si="61"/>
        <v>01</v>
      </c>
    </row>
    <row r="3617" spans="15:15" x14ac:dyDescent="0.25">
      <c r="O3617" s="55" t="str">
        <f t="shared" si="61"/>
        <v>01</v>
      </c>
    </row>
    <row r="3618" spans="15:15" x14ac:dyDescent="0.25">
      <c r="O3618" s="55" t="str">
        <f t="shared" si="61"/>
        <v>01</v>
      </c>
    </row>
    <row r="3619" spans="15:15" x14ac:dyDescent="0.25">
      <c r="O3619" s="55" t="str">
        <f t="shared" si="61"/>
        <v>01</v>
      </c>
    </row>
    <row r="3620" spans="15:15" x14ac:dyDescent="0.25">
      <c r="O3620" s="55" t="str">
        <f t="shared" si="61"/>
        <v>01</v>
      </c>
    </row>
    <row r="3621" spans="15:15" x14ac:dyDescent="0.25">
      <c r="O3621" s="55" t="str">
        <f t="shared" si="61"/>
        <v>01</v>
      </c>
    </row>
    <row r="3622" spans="15:15" x14ac:dyDescent="0.25">
      <c r="O3622" s="55" t="str">
        <f t="shared" si="61"/>
        <v>01</v>
      </c>
    </row>
    <row r="3623" spans="15:15" x14ac:dyDescent="0.25">
      <c r="O3623" s="55" t="str">
        <f t="shared" si="61"/>
        <v>01</v>
      </c>
    </row>
    <row r="3624" spans="15:15" x14ac:dyDescent="0.25">
      <c r="O3624" s="55" t="str">
        <f t="shared" si="61"/>
        <v>01</v>
      </c>
    </row>
    <row r="3625" spans="15:15" x14ac:dyDescent="0.25">
      <c r="O3625" s="55" t="str">
        <f t="shared" si="61"/>
        <v>01</v>
      </c>
    </row>
    <row r="3626" spans="15:15" x14ac:dyDescent="0.25">
      <c r="O3626" s="55" t="str">
        <f t="shared" si="61"/>
        <v>01</v>
      </c>
    </row>
    <row r="3627" spans="15:15" x14ac:dyDescent="0.25">
      <c r="O3627" s="55" t="str">
        <f t="shared" si="61"/>
        <v>01</v>
      </c>
    </row>
    <row r="3628" spans="15:15" x14ac:dyDescent="0.25">
      <c r="O3628" s="55" t="str">
        <f t="shared" si="61"/>
        <v>01</v>
      </c>
    </row>
    <row r="3629" spans="15:15" x14ac:dyDescent="0.25">
      <c r="O3629" s="55" t="str">
        <f t="shared" si="61"/>
        <v>01</v>
      </c>
    </row>
    <row r="3630" spans="15:15" x14ac:dyDescent="0.25">
      <c r="O3630" s="55" t="str">
        <f t="shared" si="61"/>
        <v>01</v>
      </c>
    </row>
    <row r="3631" spans="15:15" x14ac:dyDescent="0.25">
      <c r="O3631" s="55" t="str">
        <f t="shared" si="61"/>
        <v>01</v>
      </c>
    </row>
    <row r="3632" spans="15:15" x14ac:dyDescent="0.25">
      <c r="O3632" s="55" t="str">
        <f t="shared" si="61"/>
        <v>01</v>
      </c>
    </row>
    <row r="3633" spans="15:15" x14ac:dyDescent="0.25">
      <c r="O3633" s="55" t="str">
        <f t="shared" si="61"/>
        <v>01</v>
      </c>
    </row>
    <row r="3634" spans="15:15" x14ac:dyDescent="0.25">
      <c r="O3634" s="55" t="str">
        <f t="shared" si="61"/>
        <v>01</v>
      </c>
    </row>
    <row r="3635" spans="15:15" x14ac:dyDescent="0.25">
      <c r="O3635" s="55" t="str">
        <f t="shared" si="61"/>
        <v>01</v>
      </c>
    </row>
    <row r="3636" spans="15:15" x14ac:dyDescent="0.25">
      <c r="O3636" s="55" t="str">
        <f t="shared" si="61"/>
        <v>01</v>
      </c>
    </row>
    <row r="3637" spans="15:15" x14ac:dyDescent="0.25">
      <c r="O3637" s="55" t="str">
        <f t="shared" si="61"/>
        <v>01</v>
      </c>
    </row>
    <row r="3638" spans="15:15" x14ac:dyDescent="0.25">
      <c r="O3638" s="55" t="str">
        <f t="shared" si="61"/>
        <v>01</v>
      </c>
    </row>
    <row r="3639" spans="15:15" x14ac:dyDescent="0.25">
      <c r="O3639" s="55" t="str">
        <f t="shared" si="61"/>
        <v>01</v>
      </c>
    </row>
    <row r="3640" spans="15:15" x14ac:dyDescent="0.25">
      <c r="O3640" s="55" t="str">
        <f t="shared" si="61"/>
        <v>01</v>
      </c>
    </row>
    <row r="3641" spans="15:15" x14ac:dyDescent="0.25">
      <c r="O3641" s="55" t="str">
        <f t="shared" si="61"/>
        <v>01</v>
      </c>
    </row>
    <row r="3642" spans="15:15" x14ac:dyDescent="0.25">
      <c r="O3642" s="55" t="str">
        <f t="shared" si="61"/>
        <v>01</v>
      </c>
    </row>
    <row r="3643" spans="15:15" x14ac:dyDescent="0.25">
      <c r="O3643" s="55" t="str">
        <f t="shared" si="61"/>
        <v>01</v>
      </c>
    </row>
    <row r="3644" spans="15:15" x14ac:dyDescent="0.25">
      <c r="O3644" s="55" t="str">
        <f t="shared" si="61"/>
        <v>01</v>
      </c>
    </row>
    <row r="3645" spans="15:15" x14ac:dyDescent="0.25">
      <c r="O3645" s="55" t="str">
        <f t="shared" si="61"/>
        <v>01</v>
      </c>
    </row>
    <row r="3646" spans="15:15" x14ac:dyDescent="0.25">
      <c r="O3646" s="55" t="str">
        <f t="shared" si="61"/>
        <v>01</v>
      </c>
    </row>
    <row r="3647" spans="15:15" x14ac:dyDescent="0.25">
      <c r="O3647" s="55" t="str">
        <f t="shared" si="61"/>
        <v>01</v>
      </c>
    </row>
    <row r="3648" spans="15:15" x14ac:dyDescent="0.25">
      <c r="O3648" s="55" t="str">
        <f t="shared" si="61"/>
        <v>01</v>
      </c>
    </row>
    <row r="3649" spans="15:15" x14ac:dyDescent="0.25">
      <c r="O3649" s="55" t="str">
        <f t="shared" si="61"/>
        <v>01</v>
      </c>
    </row>
    <row r="3650" spans="15:15" x14ac:dyDescent="0.25">
      <c r="O3650" s="55" t="str">
        <f t="shared" si="61"/>
        <v>01</v>
      </c>
    </row>
    <row r="3651" spans="15:15" x14ac:dyDescent="0.25">
      <c r="O3651" s="55" t="str">
        <f t="shared" si="61"/>
        <v>01</v>
      </c>
    </row>
    <row r="3652" spans="15:15" x14ac:dyDescent="0.25">
      <c r="O3652" s="55" t="str">
        <f t="shared" si="61"/>
        <v>01</v>
      </c>
    </row>
    <row r="3653" spans="15:15" x14ac:dyDescent="0.25">
      <c r="O3653" s="55" t="str">
        <f t="shared" si="61"/>
        <v>01</v>
      </c>
    </row>
    <row r="3654" spans="15:15" x14ac:dyDescent="0.25">
      <c r="O3654" s="55" t="str">
        <f t="shared" si="61"/>
        <v>01</v>
      </c>
    </row>
    <row r="3655" spans="15:15" x14ac:dyDescent="0.25">
      <c r="O3655" s="55" t="str">
        <f t="shared" si="61"/>
        <v>01</v>
      </c>
    </row>
    <row r="3656" spans="15:15" x14ac:dyDescent="0.25">
      <c r="O3656" s="55" t="str">
        <f t="shared" si="61"/>
        <v>01</v>
      </c>
    </row>
    <row r="3657" spans="15:15" x14ac:dyDescent="0.25">
      <c r="O3657" s="55" t="str">
        <f t="shared" si="61"/>
        <v>01</v>
      </c>
    </row>
    <row r="3658" spans="15:15" x14ac:dyDescent="0.25">
      <c r="O3658" s="55" t="str">
        <f t="shared" si="61"/>
        <v>01</v>
      </c>
    </row>
    <row r="3659" spans="15:15" x14ac:dyDescent="0.25">
      <c r="O3659" s="55" t="str">
        <f t="shared" si="61"/>
        <v>01</v>
      </c>
    </row>
    <row r="3660" spans="15:15" x14ac:dyDescent="0.25">
      <c r="O3660" s="55" t="str">
        <f t="shared" si="61"/>
        <v>01</v>
      </c>
    </row>
    <row r="3661" spans="15:15" x14ac:dyDescent="0.25">
      <c r="O3661" s="55" t="str">
        <f t="shared" si="61"/>
        <v>01</v>
      </c>
    </row>
    <row r="3662" spans="15:15" x14ac:dyDescent="0.25">
      <c r="O3662" s="55" t="str">
        <f t="shared" si="61"/>
        <v>01</v>
      </c>
    </row>
    <row r="3663" spans="15:15" x14ac:dyDescent="0.25">
      <c r="O3663" s="55" t="str">
        <f t="shared" si="61"/>
        <v>01</v>
      </c>
    </row>
    <row r="3664" spans="15:15" x14ac:dyDescent="0.25">
      <c r="O3664" s="55" t="str">
        <f t="shared" si="61"/>
        <v>01</v>
      </c>
    </row>
    <row r="3665" spans="15:15" x14ac:dyDescent="0.25">
      <c r="O3665" s="55" t="str">
        <f t="shared" si="61"/>
        <v>01</v>
      </c>
    </row>
    <row r="3666" spans="15:15" x14ac:dyDescent="0.25">
      <c r="O3666" s="55" t="str">
        <f t="shared" si="61"/>
        <v>01</v>
      </c>
    </row>
    <row r="3667" spans="15:15" x14ac:dyDescent="0.25">
      <c r="O3667" s="55" t="str">
        <f t="shared" si="61"/>
        <v>01</v>
      </c>
    </row>
    <row r="3668" spans="15:15" x14ac:dyDescent="0.25">
      <c r="O3668" s="55" t="str">
        <f t="shared" si="61"/>
        <v>01</v>
      </c>
    </row>
    <row r="3669" spans="15:15" x14ac:dyDescent="0.25">
      <c r="O3669" s="55" t="str">
        <f t="shared" si="61"/>
        <v>01</v>
      </c>
    </row>
    <row r="3670" spans="15:15" x14ac:dyDescent="0.25">
      <c r="O3670" s="55" t="str">
        <f t="shared" si="61"/>
        <v>01</v>
      </c>
    </row>
    <row r="3671" spans="15:15" x14ac:dyDescent="0.25">
      <c r="O3671" s="55" t="str">
        <f t="shared" si="61"/>
        <v>01</v>
      </c>
    </row>
    <row r="3672" spans="15:15" x14ac:dyDescent="0.25">
      <c r="O3672" s="55" t="str">
        <f t="shared" si="61"/>
        <v>01</v>
      </c>
    </row>
    <row r="3673" spans="15:15" x14ac:dyDescent="0.25">
      <c r="O3673" s="55" t="str">
        <f t="shared" si="61"/>
        <v>01</v>
      </c>
    </row>
    <row r="3674" spans="15:15" x14ac:dyDescent="0.25">
      <c r="O3674" s="55" t="str">
        <f t="shared" ref="O3674:O3680" si="62">+TEXT(H3674,"MM")</f>
        <v>01</v>
      </c>
    </row>
    <row r="3675" spans="15:15" x14ac:dyDescent="0.25">
      <c r="O3675" s="55" t="str">
        <f t="shared" si="62"/>
        <v>01</v>
      </c>
    </row>
    <row r="3676" spans="15:15" x14ac:dyDescent="0.25">
      <c r="O3676" s="55" t="str">
        <f t="shared" si="62"/>
        <v>01</v>
      </c>
    </row>
    <row r="3677" spans="15:15" x14ac:dyDescent="0.25">
      <c r="O3677" s="55" t="str">
        <f t="shared" si="62"/>
        <v>01</v>
      </c>
    </row>
    <row r="3678" spans="15:15" x14ac:dyDescent="0.25">
      <c r="O3678" s="55" t="str">
        <f t="shared" si="62"/>
        <v>01</v>
      </c>
    </row>
    <row r="3679" spans="15:15" x14ac:dyDescent="0.25">
      <c r="O3679" s="55" t="str">
        <f t="shared" si="62"/>
        <v>01</v>
      </c>
    </row>
    <row r="3680" spans="15:15" x14ac:dyDescent="0.25">
      <c r="O3680" s="55" t="str">
        <f t="shared" si="62"/>
        <v>01</v>
      </c>
    </row>
  </sheetData>
  <autoFilter ref="A24:IS3680" xr:uid="{00000000-0001-0000-0800-000000000000}"/>
  <mergeCells count="1">
    <mergeCell ref="B1:O1"/>
  </mergeCells>
  <conditionalFormatting sqref="C22:N22">
    <cfRule type="cellIs" dxfId="1" priority="2" operator="notEqual">
      <formula>0</formula>
    </cfRule>
  </conditionalFormatting>
  <conditionalFormatting sqref="O22">
    <cfRule type="cellIs" dxfId="0" priority="1" operator="notEqual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99C47-CDC2-4647-B592-81EB8233A48D}">
  <sheetPr>
    <tabColor theme="6" tint="0.39997558519241921"/>
  </sheetPr>
  <dimension ref="A2:AA73"/>
  <sheetViews>
    <sheetView topLeftCell="N1" workbookViewId="0">
      <selection activeCell="V6" sqref="V6:V17"/>
    </sheetView>
  </sheetViews>
  <sheetFormatPr baseColWidth="10" defaultColWidth="11.44140625" defaultRowHeight="13.2" x14ac:dyDescent="0.25"/>
  <cols>
    <col min="6" max="6" width="13.44140625" bestFit="1" customWidth="1"/>
    <col min="8" max="8" width="11.44140625" customWidth="1"/>
    <col min="9" max="9" width="4.109375" style="142" customWidth="1"/>
    <col min="10" max="10" width="3.109375" customWidth="1"/>
    <col min="16" max="16" width="13.44140625" bestFit="1" customWidth="1"/>
    <col min="19" max="19" width="4.109375" style="142" customWidth="1"/>
    <col min="20" max="20" width="3.109375" customWidth="1"/>
    <col min="21" max="21" width="15.44140625" bestFit="1" customWidth="1"/>
    <col min="26" max="26" width="13.44140625" bestFit="1" customWidth="1"/>
  </cols>
  <sheetData>
    <row r="2" spans="1:27" x14ac:dyDescent="0.25">
      <c r="A2" s="506" t="s">
        <v>151</v>
      </c>
      <c r="B2" s="506"/>
      <c r="C2" s="506"/>
      <c r="D2" s="506"/>
      <c r="E2" s="506"/>
      <c r="F2" s="506"/>
      <c r="G2" s="506"/>
      <c r="H2" s="63"/>
      <c r="I2" s="143"/>
      <c r="K2" s="507" t="s">
        <v>152</v>
      </c>
      <c r="L2" s="507"/>
      <c r="M2" s="507"/>
      <c r="N2" s="507"/>
      <c r="O2" s="507"/>
      <c r="P2" s="507"/>
      <c r="Q2" s="507"/>
      <c r="S2" s="143"/>
      <c r="U2" s="507" t="s">
        <v>153</v>
      </c>
      <c r="V2" s="507"/>
      <c r="W2" s="507"/>
      <c r="X2" s="507"/>
      <c r="Y2" s="507"/>
      <c r="Z2" s="507"/>
      <c r="AA2" s="507"/>
    </row>
    <row r="4" spans="1:27" s="9" customFormat="1" x14ac:dyDescent="0.25">
      <c r="A4" s="147" t="s">
        <v>154</v>
      </c>
      <c r="B4" s="147" t="s">
        <v>155</v>
      </c>
      <c r="C4" s="147" t="s">
        <v>156</v>
      </c>
      <c r="D4" s="147" t="s">
        <v>139</v>
      </c>
      <c r="E4" s="147" t="s">
        <v>157</v>
      </c>
      <c r="F4" s="147" t="s">
        <v>158</v>
      </c>
      <c r="G4" s="147" t="s">
        <v>45</v>
      </c>
      <c r="I4" s="148"/>
      <c r="K4" s="147" t="s">
        <v>154</v>
      </c>
      <c r="L4" s="147" t="s">
        <v>155</v>
      </c>
      <c r="M4" s="147" t="s">
        <v>156</v>
      </c>
      <c r="N4" s="147" t="s">
        <v>139</v>
      </c>
      <c r="O4" s="147" t="s">
        <v>157</v>
      </c>
      <c r="P4" s="147" t="s">
        <v>158</v>
      </c>
      <c r="Q4" s="147" t="s">
        <v>45</v>
      </c>
      <c r="S4" s="148"/>
      <c r="U4" s="147" t="s">
        <v>154</v>
      </c>
      <c r="V4" s="147"/>
      <c r="W4" s="147"/>
      <c r="X4" s="147"/>
      <c r="Y4" s="147"/>
      <c r="Z4" s="147"/>
      <c r="AA4" s="147"/>
    </row>
    <row r="5" spans="1:27" x14ac:dyDescent="0.25">
      <c r="A5" s="183"/>
      <c r="B5" s="57"/>
      <c r="C5" s="57"/>
      <c r="D5" s="57"/>
      <c r="E5" s="57"/>
      <c r="F5" s="139"/>
      <c r="K5" s="184"/>
      <c r="L5" s="184"/>
      <c r="M5" s="184"/>
      <c r="N5" s="184"/>
      <c r="O5" s="184"/>
      <c r="P5" s="185"/>
      <c r="Q5" s="184"/>
      <c r="R5" s="49"/>
      <c r="U5" s="184"/>
      <c r="V5" s="184"/>
      <c r="W5" s="184"/>
      <c r="X5" s="184"/>
      <c r="Y5" s="184"/>
      <c r="Z5" s="185"/>
      <c r="AA5" s="184"/>
    </row>
    <row r="6" spans="1:27" x14ac:dyDescent="0.25">
      <c r="A6" s="59"/>
      <c r="F6" s="140"/>
      <c r="K6" s="184"/>
      <c r="L6" s="184"/>
      <c r="M6" s="184"/>
      <c r="N6" s="184"/>
      <c r="O6" s="184"/>
      <c r="P6" s="185"/>
      <c r="Q6" s="184"/>
      <c r="R6" s="49"/>
      <c r="U6" s="335">
        <f>'Analisis General'!D7</f>
        <v>45688</v>
      </c>
      <c r="V6" s="184"/>
      <c r="W6" s="184"/>
      <c r="X6" s="184"/>
      <c r="Y6" s="184"/>
      <c r="Z6" s="185"/>
      <c r="AA6" s="184"/>
    </row>
    <row r="7" spans="1:27" x14ac:dyDescent="0.25">
      <c r="A7" s="59"/>
      <c r="F7" s="140"/>
      <c r="K7" s="184"/>
      <c r="L7" s="184"/>
      <c r="M7" s="184"/>
      <c r="N7" s="184"/>
      <c r="O7" s="184"/>
      <c r="P7" s="185"/>
      <c r="Q7" s="184"/>
      <c r="R7" s="49"/>
      <c r="U7" s="335">
        <f>EOMONTH(U6,1)</f>
        <v>45716</v>
      </c>
      <c r="V7" s="184"/>
      <c r="W7" s="184"/>
      <c r="X7" s="184"/>
      <c r="Y7" s="184"/>
      <c r="Z7" s="185"/>
      <c r="AA7" s="184"/>
    </row>
    <row r="8" spans="1:27" x14ac:dyDescent="0.25">
      <c r="A8" s="59"/>
      <c r="F8" s="140"/>
      <c r="K8" s="184"/>
      <c r="L8" s="184"/>
      <c r="M8" s="184"/>
      <c r="N8" s="184"/>
      <c r="O8" s="184"/>
      <c r="P8" s="185"/>
      <c r="Q8" s="184"/>
      <c r="R8" s="49"/>
      <c r="U8" s="335">
        <f t="shared" ref="U8:U17" si="0">EOMONTH(U7,1)</f>
        <v>45747</v>
      </c>
      <c r="V8" s="184"/>
      <c r="W8" s="184"/>
      <c r="X8" s="184"/>
      <c r="Y8" s="184"/>
      <c r="Z8" s="185"/>
      <c r="AA8" s="184"/>
    </row>
    <row r="9" spans="1:27" x14ac:dyDescent="0.25">
      <c r="A9" s="59"/>
      <c r="F9" s="140"/>
      <c r="K9" s="184"/>
      <c r="L9" s="184"/>
      <c r="M9" s="184"/>
      <c r="N9" s="184"/>
      <c r="O9" s="184"/>
      <c r="P9" s="185"/>
      <c r="Q9" s="184"/>
      <c r="R9" s="49"/>
      <c r="U9" s="335">
        <f t="shared" si="0"/>
        <v>45777</v>
      </c>
      <c r="V9" s="184"/>
      <c r="W9" s="184"/>
      <c r="X9" s="184"/>
      <c r="Y9" s="184"/>
      <c r="Z9" s="185"/>
      <c r="AA9" s="184"/>
    </row>
    <row r="10" spans="1:27" x14ac:dyDescent="0.25">
      <c r="A10" s="59"/>
      <c r="F10" s="140"/>
      <c r="K10" s="184"/>
      <c r="L10" s="184"/>
      <c r="M10" s="184"/>
      <c r="N10" s="184"/>
      <c r="O10" s="184"/>
      <c r="P10" s="185"/>
      <c r="Q10" s="184"/>
      <c r="R10" s="49"/>
      <c r="U10" s="335">
        <f t="shared" si="0"/>
        <v>45808</v>
      </c>
      <c r="V10" s="184"/>
      <c r="W10" s="184"/>
      <c r="X10" s="184"/>
      <c r="Y10" s="184"/>
      <c r="Z10" s="185"/>
      <c r="AA10" s="184"/>
    </row>
    <row r="11" spans="1:27" x14ac:dyDescent="0.25">
      <c r="A11" s="59"/>
      <c r="F11" s="140"/>
      <c r="K11" s="184"/>
      <c r="L11" s="184"/>
      <c r="M11" s="184"/>
      <c r="N11" s="184"/>
      <c r="O11" s="184"/>
      <c r="P11" s="185"/>
      <c r="Q11" s="184"/>
      <c r="R11" s="49"/>
      <c r="U11" s="335">
        <f t="shared" si="0"/>
        <v>45838</v>
      </c>
      <c r="V11" s="184"/>
      <c r="W11" s="184"/>
      <c r="X11" s="184"/>
      <c r="Y11" s="184"/>
      <c r="Z11" s="185"/>
      <c r="AA11" s="184"/>
    </row>
    <row r="12" spans="1:27" x14ac:dyDescent="0.25">
      <c r="A12" s="59"/>
      <c r="F12" s="140"/>
      <c r="P12" s="140"/>
      <c r="U12" s="335">
        <f t="shared" si="0"/>
        <v>45869</v>
      </c>
      <c r="Z12" s="140"/>
    </row>
    <row r="13" spans="1:27" x14ac:dyDescent="0.25">
      <c r="A13" s="59"/>
      <c r="F13" s="140"/>
      <c r="P13" s="140"/>
      <c r="U13" s="335">
        <f t="shared" si="0"/>
        <v>45900</v>
      </c>
      <c r="Z13" s="140"/>
    </row>
    <row r="14" spans="1:27" x14ac:dyDescent="0.25">
      <c r="A14" s="59"/>
      <c r="F14" s="140"/>
      <c r="P14" s="140"/>
      <c r="U14" s="335">
        <f t="shared" si="0"/>
        <v>45930</v>
      </c>
      <c r="Z14" s="140"/>
    </row>
    <row r="15" spans="1:27" x14ac:dyDescent="0.25">
      <c r="A15" s="59"/>
      <c r="F15" s="140"/>
      <c r="P15" s="140"/>
      <c r="U15" s="335">
        <f t="shared" si="0"/>
        <v>45961</v>
      </c>
      <c r="Z15" s="140"/>
    </row>
    <row r="16" spans="1:27" x14ac:dyDescent="0.25">
      <c r="A16" s="59"/>
      <c r="F16" s="140"/>
      <c r="P16" s="140"/>
      <c r="U16" s="335">
        <f t="shared" si="0"/>
        <v>45991</v>
      </c>
      <c r="Z16" s="140"/>
    </row>
    <row r="17" spans="1:26" x14ac:dyDescent="0.25">
      <c r="A17" s="59"/>
      <c r="F17" s="140"/>
      <c r="P17" s="140"/>
      <c r="U17" s="335">
        <f t="shared" si="0"/>
        <v>46022</v>
      </c>
      <c r="Z17" s="140"/>
    </row>
    <row r="18" spans="1:26" x14ac:dyDescent="0.25">
      <c r="A18" s="59"/>
      <c r="F18" s="140"/>
      <c r="P18" s="140"/>
      <c r="U18" s="335"/>
      <c r="Z18" s="140"/>
    </row>
    <row r="19" spans="1:26" x14ac:dyDescent="0.25">
      <c r="A19" s="59"/>
      <c r="F19" s="140"/>
      <c r="P19" s="140"/>
      <c r="Z19" s="140"/>
    </row>
    <row r="20" spans="1:26" x14ac:dyDescent="0.25">
      <c r="A20" s="59"/>
      <c r="F20" s="140"/>
      <c r="P20" s="140"/>
      <c r="Z20" s="140"/>
    </row>
    <row r="21" spans="1:26" x14ac:dyDescent="0.25">
      <c r="A21" s="59"/>
      <c r="F21" s="140"/>
      <c r="P21" s="140"/>
      <c r="Z21" s="140"/>
    </row>
    <row r="22" spans="1:26" x14ac:dyDescent="0.25">
      <c r="A22" s="59"/>
      <c r="F22" s="140"/>
      <c r="P22" s="140"/>
      <c r="Z22" s="140"/>
    </row>
    <row r="23" spans="1:26" x14ac:dyDescent="0.25">
      <c r="A23" s="59"/>
      <c r="F23" s="140"/>
      <c r="P23" s="140"/>
      <c r="Z23" s="140"/>
    </row>
    <row r="24" spans="1:26" x14ac:dyDescent="0.25">
      <c r="A24" s="59"/>
      <c r="F24" s="140"/>
      <c r="P24" s="140"/>
      <c r="Z24" s="140"/>
    </row>
    <row r="25" spans="1:26" x14ac:dyDescent="0.25">
      <c r="A25" s="59"/>
      <c r="F25" s="140"/>
      <c r="P25" s="140"/>
      <c r="Z25" s="140"/>
    </row>
    <row r="26" spans="1:26" x14ac:dyDescent="0.25">
      <c r="A26" s="59"/>
      <c r="F26" s="140"/>
      <c r="P26" s="140"/>
      <c r="Z26" s="140"/>
    </row>
    <row r="27" spans="1:26" x14ac:dyDescent="0.25">
      <c r="A27" s="59"/>
      <c r="F27" s="140"/>
      <c r="P27" s="140"/>
      <c r="Z27" s="140"/>
    </row>
    <row r="28" spans="1:26" x14ac:dyDescent="0.25">
      <c r="A28" s="59"/>
      <c r="F28" s="140"/>
      <c r="P28" s="140"/>
      <c r="Z28" s="140"/>
    </row>
    <row r="29" spans="1:26" x14ac:dyDescent="0.25">
      <c r="A29" s="59"/>
      <c r="F29" s="140"/>
    </row>
    <row r="30" spans="1:26" x14ac:dyDescent="0.25">
      <c r="A30" s="59"/>
      <c r="F30" s="140"/>
    </row>
    <row r="31" spans="1:26" x14ac:dyDescent="0.25">
      <c r="A31" s="59"/>
      <c r="F31" s="140"/>
    </row>
    <row r="32" spans="1:26" x14ac:dyDescent="0.25">
      <c r="A32" s="59"/>
      <c r="F32" s="140"/>
    </row>
    <row r="33" spans="1:6" x14ac:dyDescent="0.25">
      <c r="A33" s="59"/>
      <c r="F33" s="140"/>
    </row>
    <row r="34" spans="1:6" x14ac:dyDescent="0.25">
      <c r="A34" s="59"/>
      <c r="F34" s="140"/>
    </row>
    <row r="35" spans="1:6" x14ac:dyDescent="0.25">
      <c r="A35" s="59"/>
      <c r="F35" s="140"/>
    </row>
    <row r="36" spans="1:6" x14ac:dyDescent="0.25">
      <c r="A36" s="59"/>
      <c r="F36" s="140"/>
    </row>
    <row r="37" spans="1:6" x14ac:dyDescent="0.25">
      <c r="A37" s="59"/>
      <c r="F37" s="140"/>
    </row>
    <row r="38" spans="1:6" x14ac:dyDescent="0.25">
      <c r="A38" s="59"/>
      <c r="F38" s="140"/>
    </row>
    <row r="39" spans="1:6" x14ac:dyDescent="0.25">
      <c r="A39" s="59"/>
      <c r="F39" s="140"/>
    </row>
    <row r="40" spans="1:6" x14ac:dyDescent="0.25">
      <c r="A40" s="59"/>
      <c r="F40" s="140"/>
    </row>
    <row r="41" spans="1:6" x14ac:dyDescent="0.25">
      <c r="A41" s="59"/>
      <c r="F41" s="140"/>
    </row>
    <row r="42" spans="1:6" x14ac:dyDescent="0.25">
      <c r="A42" s="59"/>
      <c r="F42" s="140"/>
    </row>
    <row r="43" spans="1:6" x14ac:dyDescent="0.25">
      <c r="A43" s="59"/>
      <c r="F43" s="140"/>
    </row>
    <row r="44" spans="1:6" x14ac:dyDescent="0.25">
      <c r="A44" s="59"/>
      <c r="F44" s="140"/>
    </row>
    <row r="45" spans="1:6" x14ac:dyDescent="0.25">
      <c r="A45" s="59"/>
      <c r="F45" s="140"/>
    </row>
    <row r="46" spans="1:6" x14ac:dyDescent="0.25">
      <c r="A46" s="59"/>
      <c r="F46" s="140"/>
    </row>
    <row r="47" spans="1:6" x14ac:dyDescent="0.25">
      <c r="A47" s="59"/>
      <c r="F47" s="140"/>
    </row>
    <row r="48" spans="1:6" x14ac:dyDescent="0.25">
      <c r="A48" s="59"/>
      <c r="F48" s="140"/>
    </row>
    <row r="49" spans="1:6" x14ac:dyDescent="0.25">
      <c r="A49" s="59"/>
      <c r="F49" s="140"/>
    </row>
    <row r="50" spans="1:6" x14ac:dyDescent="0.25">
      <c r="A50" s="59"/>
      <c r="F50" s="140"/>
    </row>
    <row r="51" spans="1:6" x14ac:dyDescent="0.25">
      <c r="A51" s="59"/>
      <c r="F51" s="140"/>
    </row>
    <row r="52" spans="1:6" x14ac:dyDescent="0.25">
      <c r="A52" s="59"/>
      <c r="F52" s="140"/>
    </row>
    <row r="53" spans="1:6" x14ac:dyDescent="0.25">
      <c r="A53" s="59"/>
      <c r="F53" s="140"/>
    </row>
    <row r="54" spans="1:6" x14ac:dyDescent="0.25">
      <c r="A54" s="59"/>
      <c r="F54" s="140"/>
    </row>
    <row r="55" spans="1:6" x14ac:dyDescent="0.25">
      <c r="A55" s="59"/>
      <c r="F55" s="140"/>
    </row>
    <row r="56" spans="1:6" x14ac:dyDescent="0.25">
      <c r="A56" s="59"/>
      <c r="F56" s="140"/>
    </row>
    <row r="57" spans="1:6" x14ac:dyDescent="0.25">
      <c r="A57" s="59"/>
      <c r="F57" s="140"/>
    </row>
    <row r="58" spans="1:6" x14ac:dyDescent="0.25">
      <c r="A58" s="59"/>
      <c r="F58" s="140"/>
    </row>
    <row r="59" spans="1:6" x14ac:dyDescent="0.25">
      <c r="A59" s="59"/>
      <c r="F59" s="140"/>
    </row>
    <row r="60" spans="1:6" x14ac:dyDescent="0.25">
      <c r="A60" s="59"/>
      <c r="F60" s="140"/>
    </row>
    <row r="61" spans="1:6" x14ac:dyDescent="0.25">
      <c r="A61" s="59"/>
      <c r="F61" s="140"/>
    </row>
    <row r="62" spans="1:6" x14ac:dyDescent="0.25">
      <c r="A62" s="59"/>
      <c r="F62" s="140"/>
    </row>
    <row r="63" spans="1:6" x14ac:dyDescent="0.25">
      <c r="A63" s="59"/>
      <c r="F63" s="140"/>
    </row>
    <row r="64" spans="1:6" x14ac:dyDescent="0.25">
      <c r="A64" s="59"/>
      <c r="F64" s="140"/>
    </row>
    <row r="65" spans="1:6" x14ac:dyDescent="0.25">
      <c r="A65" s="59"/>
      <c r="F65" s="140"/>
    </row>
    <row r="66" spans="1:6" x14ac:dyDescent="0.25">
      <c r="F66" s="140"/>
    </row>
    <row r="67" spans="1:6" x14ac:dyDescent="0.25">
      <c r="F67" s="140"/>
    </row>
    <row r="68" spans="1:6" x14ac:dyDescent="0.25">
      <c r="F68" s="140"/>
    </row>
    <row r="69" spans="1:6" x14ac:dyDescent="0.25">
      <c r="F69" s="140"/>
    </row>
    <row r="70" spans="1:6" x14ac:dyDescent="0.25">
      <c r="F70" s="140"/>
    </row>
    <row r="71" spans="1:6" x14ac:dyDescent="0.25">
      <c r="F71" s="140"/>
    </row>
    <row r="72" spans="1:6" x14ac:dyDescent="0.25">
      <c r="F72" s="140"/>
    </row>
    <row r="73" spans="1:6" x14ac:dyDescent="0.25">
      <c r="F73" s="140"/>
    </row>
  </sheetData>
  <autoFilter ref="A4:G65" xr:uid="{4E299C47-CDC2-4647-B592-81EB8233A48D}"/>
  <mergeCells count="3">
    <mergeCell ref="A2:G2"/>
    <mergeCell ref="K2:Q2"/>
    <mergeCell ref="U2:AA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6D8EA-FF57-4205-A8C3-7F9071B363D4}">
  <sheetPr>
    <tabColor theme="6" tint="0.39997558519241921"/>
  </sheetPr>
  <dimension ref="A2:N9"/>
  <sheetViews>
    <sheetView workbookViewId="0">
      <selection activeCell="C12" sqref="C12"/>
    </sheetView>
  </sheetViews>
  <sheetFormatPr baseColWidth="10" defaultColWidth="11.44140625" defaultRowHeight="13.2" x14ac:dyDescent="0.25"/>
  <cols>
    <col min="1" max="1" width="17.88671875" bestFit="1" customWidth="1"/>
    <col min="2" max="2" width="16.88671875" bestFit="1" customWidth="1"/>
    <col min="6" max="6" width="3.109375" style="146" customWidth="1"/>
    <col min="7" max="7" width="6.109375" customWidth="1"/>
    <col min="8" max="8" width="17.88671875" bestFit="1" customWidth="1"/>
    <col min="9" max="9" width="16.88671875" bestFit="1" customWidth="1"/>
    <col min="10" max="10" width="17" bestFit="1" customWidth="1"/>
  </cols>
  <sheetData>
    <row r="2" spans="1:14" x14ac:dyDescent="0.25">
      <c r="A2" s="506" t="s">
        <v>151</v>
      </c>
      <c r="B2" s="506"/>
      <c r="C2" s="506"/>
      <c r="D2" s="506"/>
      <c r="E2" s="63"/>
      <c r="F2" s="145"/>
      <c r="G2" s="63"/>
      <c r="H2" s="144" t="s">
        <v>152</v>
      </c>
      <c r="I2" s="144"/>
      <c r="J2" s="144"/>
      <c r="K2" s="144"/>
      <c r="L2" s="144"/>
      <c r="M2" s="144"/>
      <c r="N2" s="144"/>
    </row>
    <row r="5" spans="1:14" x14ac:dyDescent="0.25">
      <c r="A5" s="51" t="s">
        <v>159</v>
      </c>
      <c r="B5" t="s">
        <v>160</v>
      </c>
      <c r="H5" s="51" t="s">
        <v>159</v>
      </c>
      <c r="I5" t="s">
        <v>160</v>
      </c>
    </row>
    <row r="6" spans="1:14" x14ac:dyDescent="0.25">
      <c r="A6" s="17" t="s">
        <v>161</v>
      </c>
      <c r="H6" s="17" t="s">
        <v>161</v>
      </c>
    </row>
    <row r="7" spans="1:14" x14ac:dyDescent="0.25">
      <c r="A7" s="149" t="s">
        <v>161</v>
      </c>
      <c r="H7" s="17" t="s">
        <v>162</v>
      </c>
    </row>
    <row r="8" spans="1:14" x14ac:dyDescent="0.25">
      <c r="A8" s="150" t="s">
        <v>161</v>
      </c>
    </row>
    <row r="9" spans="1:14" x14ac:dyDescent="0.25">
      <c r="A9" s="17" t="s">
        <v>162</v>
      </c>
    </row>
  </sheetData>
  <mergeCells count="1">
    <mergeCell ref="A2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E39C7-DCD2-425E-8521-6BD52F91B0A6}">
  <sheetPr>
    <tabColor theme="8" tint="-0.249977111117893"/>
  </sheetPr>
  <dimension ref="B2:F2179"/>
  <sheetViews>
    <sheetView workbookViewId="0">
      <selection activeCell="E15" sqref="E15"/>
    </sheetView>
  </sheetViews>
  <sheetFormatPr baseColWidth="10" defaultColWidth="11.44140625" defaultRowHeight="13.2" x14ac:dyDescent="0.25"/>
  <cols>
    <col min="2" max="2" width="0" hidden="1" customWidth="1"/>
    <col min="3" max="3" width="12.44140625" customWidth="1"/>
    <col min="4" max="4" width="15.5546875" customWidth="1"/>
    <col min="5" max="5" width="35.88671875" style="3" customWidth="1"/>
    <col min="6" max="6" width="38.44140625" customWidth="1"/>
  </cols>
  <sheetData>
    <row r="2" spans="2:6" x14ac:dyDescent="0.25">
      <c r="D2" s="49"/>
    </row>
    <row r="4" spans="2:6" ht="13.8" x14ac:dyDescent="0.25">
      <c r="B4" s="173" t="s">
        <v>150</v>
      </c>
      <c r="C4" s="174" t="s">
        <v>157</v>
      </c>
      <c r="D4" s="174" t="s">
        <v>163</v>
      </c>
      <c r="E4" s="176" t="s">
        <v>164</v>
      </c>
      <c r="F4" s="175" t="s">
        <v>165</v>
      </c>
    </row>
    <row r="5" spans="2:6" x14ac:dyDescent="0.25">
      <c r="B5" t="str">
        <f>TEXT(C5,"MM")</f>
        <v>01</v>
      </c>
      <c r="C5" s="162"/>
    </row>
    <row r="6" spans="2:6" x14ac:dyDescent="0.25">
      <c r="B6" t="str">
        <f t="shared" ref="B6:B69" si="0">TEXT(C6,"MM")</f>
        <v>01</v>
      </c>
      <c r="C6" s="186"/>
    </row>
    <row r="7" spans="2:6" x14ac:dyDescent="0.25">
      <c r="B7" t="str">
        <f t="shared" si="0"/>
        <v>01</v>
      </c>
    </row>
    <row r="8" spans="2:6" x14ac:dyDescent="0.25">
      <c r="B8" t="str">
        <f t="shared" si="0"/>
        <v>01</v>
      </c>
    </row>
    <row r="9" spans="2:6" x14ac:dyDescent="0.25">
      <c r="B9" t="str">
        <f t="shared" si="0"/>
        <v>01</v>
      </c>
    </row>
    <row r="10" spans="2:6" x14ac:dyDescent="0.25">
      <c r="B10" t="str">
        <f t="shared" si="0"/>
        <v>01</v>
      </c>
    </row>
    <row r="11" spans="2:6" x14ac:dyDescent="0.25">
      <c r="B11" t="str">
        <f t="shared" si="0"/>
        <v>01</v>
      </c>
    </row>
    <row r="12" spans="2:6" x14ac:dyDescent="0.25">
      <c r="B12" t="str">
        <f t="shared" si="0"/>
        <v>01</v>
      </c>
    </row>
    <row r="13" spans="2:6" x14ac:dyDescent="0.25">
      <c r="B13" t="str">
        <f t="shared" si="0"/>
        <v>01</v>
      </c>
    </row>
    <row r="14" spans="2:6" x14ac:dyDescent="0.25">
      <c r="B14" t="str">
        <f t="shared" si="0"/>
        <v>01</v>
      </c>
    </row>
    <row r="15" spans="2:6" x14ac:dyDescent="0.25">
      <c r="B15" t="str">
        <f t="shared" si="0"/>
        <v>01</v>
      </c>
    </row>
    <row r="16" spans="2:6" x14ac:dyDescent="0.25">
      <c r="B16" t="str">
        <f t="shared" si="0"/>
        <v>01</v>
      </c>
    </row>
    <row r="17" spans="2:2" x14ac:dyDescent="0.25">
      <c r="B17" t="str">
        <f t="shared" si="0"/>
        <v>01</v>
      </c>
    </row>
    <row r="18" spans="2:2" x14ac:dyDescent="0.25">
      <c r="B18" t="str">
        <f t="shared" si="0"/>
        <v>01</v>
      </c>
    </row>
    <row r="19" spans="2:2" x14ac:dyDescent="0.25">
      <c r="B19" t="str">
        <f t="shared" si="0"/>
        <v>01</v>
      </c>
    </row>
    <row r="20" spans="2:2" x14ac:dyDescent="0.25">
      <c r="B20" t="str">
        <f t="shared" si="0"/>
        <v>01</v>
      </c>
    </row>
    <row r="21" spans="2:2" x14ac:dyDescent="0.25">
      <c r="B21" t="str">
        <f t="shared" si="0"/>
        <v>01</v>
      </c>
    </row>
    <row r="22" spans="2:2" x14ac:dyDescent="0.25">
      <c r="B22" t="str">
        <f t="shared" si="0"/>
        <v>01</v>
      </c>
    </row>
    <row r="23" spans="2:2" x14ac:dyDescent="0.25">
      <c r="B23" t="str">
        <f t="shared" si="0"/>
        <v>01</v>
      </c>
    </row>
    <row r="24" spans="2:2" x14ac:dyDescent="0.25">
      <c r="B24" t="str">
        <f t="shared" si="0"/>
        <v>01</v>
      </c>
    </row>
    <row r="25" spans="2:2" x14ac:dyDescent="0.25">
      <c r="B25" t="str">
        <f t="shared" si="0"/>
        <v>01</v>
      </c>
    </row>
    <row r="26" spans="2:2" x14ac:dyDescent="0.25">
      <c r="B26" t="str">
        <f t="shared" si="0"/>
        <v>01</v>
      </c>
    </row>
    <row r="27" spans="2:2" x14ac:dyDescent="0.25">
      <c r="B27" t="str">
        <f t="shared" si="0"/>
        <v>01</v>
      </c>
    </row>
    <row r="28" spans="2:2" x14ac:dyDescent="0.25">
      <c r="B28" t="str">
        <f t="shared" si="0"/>
        <v>01</v>
      </c>
    </row>
    <row r="29" spans="2:2" x14ac:dyDescent="0.25">
      <c r="B29" t="str">
        <f t="shared" si="0"/>
        <v>01</v>
      </c>
    </row>
    <row r="30" spans="2:2" x14ac:dyDescent="0.25">
      <c r="B30" t="str">
        <f t="shared" si="0"/>
        <v>01</v>
      </c>
    </row>
    <row r="31" spans="2:2" x14ac:dyDescent="0.25">
      <c r="B31" t="str">
        <f t="shared" si="0"/>
        <v>01</v>
      </c>
    </row>
    <row r="32" spans="2:2" x14ac:dyDescent="0.25">
      <c r="B32" t="str">
        <f t="shared" si="0"/>
        <v>01</v>
      </c>
    </row>
    <row r="33" spans="2:2" x14ac:dyDescent="0.25">
      <c r="B33" t="str">
        <f t="shared" si="0"/>
        <v>01</v>
      </c>
    </row>
    <row r="34" spans="2:2" x14ac:dyDescent="0.25">
      <c r="B34" t="str">
        <f t="shared" si="0"/>
        <v>01</v>
      </c>
    </row>
    <row r="35" spans="2:2" x14ac:dyDescent="0.25">
      <c r="B35" t="str">
        <f t="shared" si="0"/>
        <v>01</v>
      </c>
    </row>
    <row r="36" spans="2:2" x14ac:dyDescent="0.25">
      <c r="B36" t="str">
        <f t="shared" si="0"/>
        <v>01</v>
      </c>
    </row>
    <row r="37" spans="2:2" x14ac:dyDescent="0.25">
      <c r="B37" t="str">
        <f t="shared" si="0"/>
        <v>01</v>
      </c>
    </row>
    <row r="38" spans="2:2" x14ac:dyDescent="0.25">
      <c r="B38" t="str">
        <f t="shared" si="0"/>
        <v>01</v>
      </c>
    </row>
    <row r="39" spans="2:2" x14ac:dyDescent="0.25">
      <c r="B39" t="str">
        <f t="shared" si="0"/>
        <v>01</v>
      </c>
    </row>
    <row r="40" spans="2:2" x14ac:dyDescent="0.25">
      <c r="B40" t="str">
        <f t="shared" si="0"/>
        <v>01</v>
      </c>
    </row>
    <row r="41" spans="2:2" x14ac:dyDescent="0.25">
      <c r="B41" t="str">
        <f t="shared" si="0"/>
        <v>01</v>
      </c>
    </row>
    <row r="42" spans="2:2" x14ac:dyDescent="0.25">
      <c r="B42" t="str">
        <f t="shared" si="0"/>
        <v>01</v>
      </c>
    </row>
    <row r="43" spans="2:2" x14ac:dyDescent="0.25">
      <c r="B43" t="str">
        <f t="shared" si="0"/>
        <v>01</v>
      </c>
    </row>
    <row r="44" spans="2:2" x14ac:dyDescent="0.25">
      <c r="B44" t="str">
        <f t="shared" si="0"/>
        <v>01</v>
      </c>
    </row>
    <row r="45" spans="2:2" x14ac:dyDescent="0.25">
      <c r="B45" t="str">
        <f t="shared" si="0"/>
        <v>01</v>
      </c>
    </row>
    <row r="46" spans="2:2" x14ac:dyDescent="0.25">
      <c r="B46" t="str">
        <f t="shared" si="0"/>
        <v>01</v>
      </c>
    </row>
    <row r="47" spans="2:2" x14ac:dyDescent="0.25">
      <c r="B47" t="str">
        <f t="shared" si="0"/>
        <v>01</v>
      </c>
    </row>
    <row r="48" spans="2:2" x14ac:dyDescent="0.25">
      <c r="B48" t="str">
        <f t="shared" si="0"/>
        <v>01</v>
      </c>
    </row>
    <row r="49" spans="2:2" x14ac:dyDescent="0.25">
      <c r="B49" t="str">
        <f t="shared" si="0"/>
        <v>01</v>
      </c>
    </row>
    <row r="50" spans="2:2" x14ac:dyDescent="0.25">
      <c r="B50" t="str">
        <f t="shared" si="0"/>
        <v>01</v>
      </c>
    </row>
    <row r="51" spans="2:2" x14ac:dyDescent="0.25">
      <c r="B51" t="str">
        <f t="shared" si="0"/>
        <v>01</v>
      </c>
    </row>
    <row r="52" spans="2:2" x14ac:dyDescent="0.25">
      <c r="B52" t="str">
        <f t="shared" si="0"/>
        <v>01</v>
      </c>
    </row>
    <row r="53" spans="2:2" x14ac:dyDescent="0.25">
      <c r="B53" t="str">
        <f t="shared" si="0"/>
        <v>01</v>
      </c>
    </row>
    <row r="54" spans="2:2" x14ac:dyDescent="0.25">
      <c r="B54" t="str">
        <f t="shared" si="0"/>
        <v>01</v>
      </c>
    </row>
    <row r="55" spans="2:2" x14ac:dyDescent="0.25">
      <c r="B55" t="str">
        <f t="shared" si="0"/>
        <v>01</v>
      </c>
    </row>
    <row r="56" spans="2:2" x14ac:dyDescent="0.25">
      <c r="B56" t="str">
        <f t="shared" si="0"/>
        <v>01</v>
      </c>
    </row>
    <row r="57" spans="2:2" x14ac:dyDescent="0.25">
      <c r="B57" t="str">
        <f t="shared" si="0"/>
        <v>01</v>
      </c>
    </row>
    <row r="58" spans="2:2" x14ac:dyDescent="0.25">
      <c r="B58" t="str">
        <f t="shared" si="0"/>
        <v>01</v>
      </c>
    </row>
    <row r="59" spans="2:2" x14ac:dyDescent="0.25">
      <c r="B59" t="str">
        <f t="shared" si="0"/>
        <v>01</v>
      </c>
    </row>
    <row r="60" spans="2:2" x14ac:dyDescent="0.25">
      <c r="B60" t="str">
        <f t="shared" si="0"/>
        <v>01</v>
      </c>
    </row>
    <row r="61" spans="2:2" x14ac:dyDescent="0.25">
      <c r="B61" t="str">
        <f t="shared" si="0"/>
        <v>01</v>
      </c>
    </row>
    <row r="62" spans="2:2" x14ac:dyDescent="0.25">
      <c r="B62" t="str">
        <f t="shared" si="0"/>
        <v>01</v>
      </c>
    </row>
    <row r="63" spans="2:2" x14ac:dyDescent="0.25">
      <c r="B63" t="str">
        <f t="shared" si="0"/>
        <v>01</v>
      </c>
    </row>
    <row r="64" spans="2:2" x14ac:dyDescent="0.25">
      <c r="B64" t="str">
        <f t="shared" si="0"/>
        <v>01</v>
      </c>
    </row>
    <row r="65" spans="2:2" x14ac:dyDescent="0.25">
      <c r="B65" t="str">
        <f t="shared" si="0"/>
        <v>01</v>
      </c>
    </row>
    <row r="66" spans="2:2" x14ac:dyDescent="0.25">
      <c r="B66" t="str">
        <f t="shared" si="0"/>
        <v>01</v>
      </c>
    </row>
    <row r="67" spans="2:2" x14ac:dyDescent="0.25">
      <c r="B67" t="str">
        <f t="shared" si="0"/>
        <v>01</v>
      </c>
    </row>
    <row r="68" spans="2:2" x14ac:dyDescent="0.25">
      <c r="B68" t="str">
        <f t="shared" si="0"/>
        <v>01</v>
      </c>
    </row>
    <row r="69" spans="2:2" x14ac:dyDescent="0.25">
      <c r="B69" t="str">
        <f t="shared" si="0"/>
        <v>01</v>
      </c>
    </row>
    <row r="70" spans="2:2" x14ac:dyDescent="0.25">
      <c r="B70" t="str">
        <f t="shared" ref="B70:B133" si="1">TEXT(C70,"MM")</f>
        <v>01</v>
      </c>
    </row>
    <row r="71" spans="2:2" x14ac:dyDescent="0.25">
      <c r="B71" t="str">
        <f t="shared" si="1"/>
        <v>01</v>
      </c>
    </row>
    <row r="72" spans="2:2" x14ac:dyDescent="0.25">
      <c r="B72" t="str">
        <f t="shared" si="1"/>
        <v>01</v>
      </c>
    </row>
    <row r="73" spans="2:2" x14ac:dyDescent="0.25">
      <c r="B73" t="str">
        <f t="shared" si="1"/>
        <v>01</v>
      </c>
    </row>
    <row r="74" spans="2:2" x14ac:dyDescent="0.25">
      <c r="B74" t="str">
        <f t="shared" si="1"/>
        <v>01</v>
      </c>
    </row>
    <row r="75" spans="2:2" x14ac:dyDescent="0.25">
      <c r="B75" t="str">
        <f t="shared" si="1"/>
        <v>01</v>
      </c>
    </row>
    <row r="76" spans="2:2" x14ac:dyDescent="0.25">
      <c r="B76" t="str">
        <f t="shared" si="1"/>
        <v>01</v>
      </c>
    </row>
    <row r="77" spans="2:2" x14ac:dyDescent="0.25">
      <c r="B77" t="str">
        <f t="shared" si="1"/>
        <v>01</v>
      </c>
    </row>
    <row r="78" spans="2:2" x14ac:dyDescent="0.25">
      <c r="B78" t="str">
        <f t="shared" si="1"/>
        <v>01</v>
      </c>
    </row>
    <row r="79" spans="2:2" x14ac:dyDescent="0.25">
      <c r="B79" t="str">
        <f t="shared" si="1"/>
        <v>01</v>
      </c>
    </row>
    <row r="80" spans="2:2" x14ac:dyDescent="0.25">
      <c r="B80" t="str">
        <f t="shared" si="1"/>
        <v>01</v>
      </c>
    </row>
    <row r="81" spans="2:2" x14ac:dyDescent="0.25">
      <c r="B81" t="str">
        <f t="shared" si="1"/>
        <v>01</v>
      </c>
    </row>
    <row r="82" spans="2:2" x14ac:dyDescent="0.25">
      <c r="B82" t="str">
        <f t="shared" si="1"/>
        <v>01</v>
      </c>
    </row>
    <row r="83" spans="2:2" x14ac:dyDescent="0.25">
      <c r="B83" t="str">
        <f t="shared" si="1"/>
        <v>01</v>
      </c>
    </row>
    <row r="84" spans="2:2" x14ac:dyDescent="0.25">
      <c r="B84" t="str">
        <f t="shared" si="1"/>
        <v>01</v>
      </c>
    </row>
    <row r="85" spans="2:2" x14ac:dyDescent="0.25">
      <c r="B85" t="str">
        <f t="shared" si="1"/>
        <v>01</v>
      </c>
    </row>
    <row r="86" spans="2:2" x14ac:dyDescent="0.25">
      <c r="B86" t="str">
        <f t="shared" si="1"/>
        <v>01</v>
      </c>
    </row>
    <row r="87" spans="2:2" x14ac:dyDescent="0.25">
      <c r="B87" t="str">
        <f t="shared" si="1"/>
        <v>01</v>
      </c>
    </row>
    <row r="88" spans="2:2" x14ac:dyDescent="0.25">
      <c r="B88" t="str">
        <f t="shared" si="1"/>
        <v>01</v>
      </c>
    </row>
    <row r="89" spans="2:2" x14ac:dyDescent="0.25">
      <c r="B89" t="str">
        <f t="shared" si="1"/>
        <v>01</v>
      </c>
    </row>
    <row r="90" spans="2:2" x14ac:dyDescent="0.25">
      <c r="B90" t="str">
        <f t="shared" si="1"/>
        <v>01</v>
      </c>
    </row>
    <row r="91" spans="2:2" x14ac:dyDescent="0.25">
      <c r="B91" t="str">
        <f t="shared" si="1"/>
        <v>01</v>
      </c>
    </row>
    <row r="92" spans="2:2" x14ac:dyDescent="0.25">
      <c r="B92" t="str">
        <f t="shared" si="1"/>
        <v>01</v>
      </c>
    </row>
    <row r="93" spans="2:2" x14ac:dyDescent="0.25">
      <c r="B93" t="str">
        <f t="shared" si="1"/>
        <v>01</v>
      </c>
    </row>
    <row r="94" spans="2:2" x14ac:dyDescent="0.25">
      <c r="B94" t="str">
        <f t="shared" si="1"/>
        <v>01</v>
      </c>
    </row>
    <row r="95" spans="2:2" x14ac:dyDescent="0.25">
      <c r="B95" t="str">
        <f t="shared" si="1"/>
        <v>01</v>
      </c>
    </row>
    <row r="96" spans="2:2" x14ac:dyDescent="0.25">
      <c r="B96" t="str">
        <f t="shared" si="1"/>
        <v>01</v>
      </c>
    </row>
    <row r="97" spans="2:2" x14ac:dyDescent="0.25">
      <c r="B97" t="str">
        <f t="shared" si="1"/>
        <v>01</v>
      </c>
    </row>
    <row r="98" spans="2:2" x14ac:dyDescent="0.25">
      <c r="B98" t="str">
        <f t="shared" si="1"/>
        <v>01</v>
      </c>
    </row>
    <row r="99" spans="2:2" x14ac:dyDescent="0.25">
      <c r="B99" t="str">
        <f t="shared" si="1"/>
        <v>01</v>
      </c>
    </row>
    <row r="100" spans="2:2" x14ac:dyDescent="0.25">
      <c r="B100" t="str">
        <f t="shared" si="1"/>
        <v>01</v>
      </c>
    </row>
    <row r="101" spans="2:2" x14ac:dyDescent="0.25">
      <c r="B101" t="str">
        <f t="shared" si="1"/>
        <v>01</v>
      </c>
    </row>
    <row r="102" spans="2:2" x14ac:dyDescent="0.25">
      <c r="B102" t="str">
        <f t="shared" si="1"/>
        <v>01</v>
      </c>
    </row>
    <row r="103" spans="2:2" x14ac:dyDescent="0.25">
      <c r="B103" t="str">
        <f t="shared" si="1"/>
        <v>01</v>
      </c>
    </row>
    <row r="104" spans="2:2" x14ac:dyDescent="0.25">
      <c r="B104" t="str">
        <f t="shared" si="1"/>
        <v>01</v>
      </c>
    </row>
    <row r="105" spans="2:2" x14ac:dyDescent="0.25">
      <c r="B105" t="str">
        <f t="shared" si="1"/>
        <v>01</v>
      </c>
    </row>
    <row r="106" spans="2:2" x14ac:dyDescent="0.25">
      <c r="B106" t="str">
        <f t="shared" si="1"/>
        <v>01</v>
      </c>
    </row>
    <row r="107" spans="2:2" x14ac:dyDescent="0.25">
      <c r="B107" t="str">
        <f t="shared" si="1"/>
        <v>01</v>
      </c>
    </row>
    <row r="108" spans="2:2" x14ac:dyDescent="0.25">
      <c r="B108" t="str">
        <f t="shared" si="1"/>
        <v>01</v>
      </c>
    </row>
    <row r="109" spans="2:2" x14ac:dyDescent="0.25">
      <c r="B109" t="str">
        <f t="shared" si="1"/>
        <v>01</v>
      </c>
    </row>
    <row r="110" spans="2:2" x14ac:dyDescent="0.25">
      <c r="B110" t="str">
        <f t="shared" si="1"/>
        <v>01</v>
      </c>
    </row>
    <row r="111" spans="2:2" x14ac:dyDescent="0.25">
      <c r="B111" t="str">
        <f t="shared" si="1"/>
        <v>01</v>
      </c>
    </row>
    <row r="112" spans="2:2" x14ac:dyDescent="0.25">
      <c r="B112" t="str">
        <f t="shared" si="1"/>
        <v>01</v>
      </c>
    </row>
    <row r="113" spans="2:2" x14ac:dyDescent="0.25">
      <c r="B113" t="str">
        <f t="shared" si="1"/>
        <v>01</v>
      </c>
    </row>
    <row r="114" spans="2:2" x14ac:dyDescent="0.25">
      <c r="B114" t="str">
        <f t="shared" si="1"/>
        <v>01</v>
      </c>
    </row>
    <row r="115" spans="2:2" x14ac:dyDescent="0.25">
      <c r="B115" t="str">
        <f t="shared" si="1"/>
        <v>01</v>
      </c>
    </row>
    <row r="116" spans="2:2" x14ac:dyDescent="0.25">
      <c r="B116" t="str">
        <f t="shared" si="1"/>
        <v>01</v>
      </c>
    </row>
    <row r="117" spans="2:2" x14ac:dyDescent="0.25">
      <c r="B117" t="str">
        <f t="shared" si="1"/>
        <v>01</v>
      </c>
    </row>
    <row r="118" spans="2:2" x14ac:dyDescent="0.25">
      <c r="B118" t="str">
        <f t="shared" si="1"/>
        <v>01</v>
      </c>
    </row>
    <row r="119" spans="2:2" x14ac:dyDescent="0.25">
      <c r="B119" t="str">
        <f t="shared" si="1"/>
        <v>01</v>
      </c>
    </row>
    <row r="120" spans="2:2" x14ac:dyDescent="0.25">
      <c r="B120" t="str">
        <f t="shared" si="1"/>
        <v>01</v>
      </c>
    </row>
    <row r="121" spans="2:2" x14ac:dyDescent="0.25">
      <c r="B121" t="str">
        <f t="shared" si="1"/>
        <v>01</v>
      </c>
    </row>
    <row r="122" spans="2:2" x14ac:dyDescent="0.25">
      <c r="B122" t="str">
        <f t="shared" si="1"/>
        <v>01</v>
      </c>
    </row>
    <row r="123" spans="2:2" x14ac:dyDescent="0.25">
      <c r="B123" t="str">
        <f t="shared" si="1"/>
        <v>01</v>
      </c>
    </row>
    <row r="124" spans="2:2" x14ac:dyDescent="0.25">
      <c r="B124" t="str">
        <f t="shared" si="1"/>
        <v>01</v>
      </c>
    </row>
    <row r="125" spans="2:2" x14ac:dyDescent="0.25">
      <c r="B125" t="str">
        <f t="shared" si="1"/>
        <v>01</v>
      </c>
    </row>
    <row r="126" spans="2:2" x14ac:dyDescent="0.25">
      <c r="B126" t="str">
        <f t="shared" si="1"/>
        <v>01</v>
      </c>
    </row>
    <row r="127" spans="2:2" x14ac:dyDescent="0.25">
      <c r="B127" t="str">
        <f t="shared" si="1"/>
        <v>01</v>
      </c>
    </row>
    <row r="128" spans="2:2" x14ac:dyDescent="0.25">
      <c r="B128" t="str">
        <f t="shared" si="1"/>
        <v>01</v>
      </c>
    </row>
    <row r="129" spans="2:2" x14ac:dyDescent="0.25">
      <c r="B129" t="str">
        <f t="shared" si="1"/>
        <v>01</v>
      </c>
    </row>
    <row r="130" spans="2:2" x14ac:dyDescent="0.25">
      <c r="B130" t="str">
        <f t="shared" si="1"/>
        <v>01</v>
      </c>
    </row>
    <row r="131" spans="2:2" x14ac:dyDescent="0.25">
      <c r="B131" t="str">
        <f t="shared" si="1"/>
        <v>01</v>
      </c>
    </row>
    <row r="132" spans="2:2" x14ac:dyDescent="0.25">
      <c r="B132" t="str">
        <f t="shared" si="1"/>
        <v>01</v>
      </c>
    </row>
    <row r="133" spans="2:2" x14ac:dyDescent="0.25">
      <c r="B133" t="str">
        <f t="shared" si="1"/>
        <v>01</v>
      </c>
    </row>
    <row r="134" spans="2:2" x14ac:dyDescent="0.25">
      <c r="B134" t="str">
        <f t="shared" ref="B134:B197" si="2">TEXT(C134,"MM")</f>
        <v>01</v>
      </c>
    </row>
    <row r="135" spans="2:2" x14ac:dyDescent="0.25">
      <c r="B135" t="str">
        <f t="shared" si="2"/>
        <v>01</v>
      </c>
    </row>
    <row r="136" spans="2:2" x14ac:dyDescent="0.25">
      <c r="B136" t="str">
        <f t="shared" si="2"/>
        <v>01</v>
      </c>
    </row>
    <row r="137" spans="2:2" x14ac:dyDescent="0.25">
      <c r="B137" t="str">
        <f t="shared" si="2"/>
        <v>01</v>
      </c>
    </row>
    <row r="138" spans="2:2" x14ac:dyDescent="0.25">
      <c r="B138" t="str">
        <f t="shared" si="2"/>
        <v>01</v>
      </c>
    </row>
    <row r="139" spans="2:2" x14ac:dyDescent="0.25">
      <c r="B139" t="str">
        <f t="shared" si="2"/>
        <v>01</v>
      </c>
    </row>
    <row r="140" spans="2:2" x14ac:dyDescent="0.25">
      <c r="B140" t="str">
        <f t="shared" si="2"/>
        <v>01</v>
      </c>
    </row>
    <row r="141" spans="2:2" x14ac:dyDescent="0.25">
      <c r="B141" t="str">
        <f t="shared" si="2"/>
        <v>01</v>
      </c>
    </row>
    <row r="142" spans="2:2" x14ac:dyDescent="0.25">
      <c r="B142" t="str">
        <f t="shared" si="2"/>
        <v>01</v>
      </c>
    </row>
    <row r="143" spans="2:2" x14ac:dyDescent="0.25">
      <c r="B143" t="str">
        <f t="shared" si="2"/>
        <v>01</v>
      </c>
    </row>
    <row r="144" spans="2:2" x14ac:dyDescent="0.25">
      <c r="B144" t="str">
        <f t="shared" si="2"/>
        <v>01</v>
      </c>
    </row>
    <row r="145" spans="2:2" x14ac:dyDescent="0.25">
      <c r="B145" t="str">
        <f t="shared" si="2"/>
        <v>01</v>
      </c>
    </row>
    <row r="146" spans="2:2" x14ac:dyDescent="0.25">
      <c r="B146" t="str">
        <f t="shared" si="2"/>
        <v>01</v>
      </c>
    </row>
    <row r="147" spans="2:2" x14ac:dyDescent="0.25">
      <c r="B147" t="str">
        <f t="shared" si="2"/>
        <v>01</v>
      </c>
    </row>
    <row r="148" spans="2:2" x14ac:dyDescent="0.25">
      <c r="B148" t="str">
        <f t="shared" si="2"/>
        <v>01</v>
      </c>
    </row>
    <row r="149" spans="2:2" x14ac:dyDescent="0.25">
      <c r="B149" t="str">
        <f t="shared" si="2"/>
        <v>01</v>
      </c>
    </row>
    <row r="150" spans="2:2" x14ac:dyDescent="0.25">
      <c r="B150" t="str">
        <f t="shared" si="2"/>
        <v>01</v>
      </c>
    </row>
    <row r="151" spans="2:2" x14ac:dyDescent="0.25">
      <c r="B151" t="str">
        <f t="shared" si="2"/>
        <v>01</v>
      </c>
    </row>
    <row r="152" spans="2:2" x14ac:dyDescent="0.25">
      <c r="B152" t="str">
        <f t="shared" si="2"/>
        <v>01</v>
      </c>
    </row>
    <row r="153" spans="2:2" x14ac:dyDescent="0.25">
      <c r="B153" t="str">
        <f t="shared" si="2"/>
        <v>01</v>
      </c>
    </row>
    <row r="154" spans="2:2" x14ac:dyDescent="0.25">
      <c r="B154" t="str">
        <f t="shared" si="2"/>
        <v>01</v>
      </c>
    </row>
    <row r="155" spans="2:2" x14ac:dyDescent="0.25">
      <c r="B155" t="str">
        <f t="shared" si="2"/>
        <v>01</v>
      </c>
    </row>
    <row r="156" spans="2:2" x14ac:dyDescent="0.25">
      <c r="B156" t="str">
        <f t="shared" si="2"/>
        <v>01</v>
      </c>
    </row>
    <row r="157" spans="2:2" x14ac:dyDescent="0.25">
      <c r="B157" t="str">
        <f t="shared" si="2"/>
        <v>01</v>
      </c>
    </row>
    <row r="158" spans="2:2" x14ac:dyDescent="0.25">
      <c r="B158" t="str">
        <f t="shared" si="2"/>
        <v>01</v>
      </c>
    </row>
    <row r="159" spans="2:2" x14ac:dyDescent="0.25">
      <c r="B159" t="str">
        <f t="shared" si="2"/>
        <v>01</v>
      </c>
    </row>
    <row r="160" spans="2:2" x14ac:dyDescent="0.25">
      <c r="B160" t="str">
        <f t="shared" si="2"/>
        <v>01</v>
      </c>
    </row>
    <row r="161" spans="2:2" x14ac:dyDescent="0.25">
      <c r="B161" t="str">
        <f t="shared" si="2"/>
        <v>01</v>
      </c>
    </row>
    <row r="162" spans="2:2" x14ac:dyDescent="0.25">
      <c r="B162" t="str">
        <f t="shared" si="2"/>
        <v>01</v>
      </c>
    </row>
    <row r="163" spans="2:2" x14ac:dyDescent="0.25">
      <c r="B163" t="str">
        <f t="shared" si="2"/>
        <v>01</v>
      </c>
    </row>
    <row r="164" spans="2:2" x14ac:dyDescent="0.25">
      <c r="B164" t="str">
        <f t="shared" si="2"/>
        <v>01</v>
      </c>
    </row>
    <row r="165" spans="2:2" x14ac:dyDescent="0.25">
      <c r="B165" t="str">
        <f t="shared" si="2"/>
        <v>01</v>
      </c>
    </row>
    <row r="166" spans="2:2" x14ac:dyDescent="0.25">
      <c r="B166" t="str">
        <f t="shared" si="2"/>
        <v>01</v>
      </c>
    </row>
    <row r="167" spans="2:2" x14ac:dyDescent="0.25">
      <c r="B167" t="str">
        <f t="shared" si="2"/>
        <v>01</v>
      </c>
    </row>
    <row r="168" spans="2:2" x14ac:dyDescent="0.25">
      <c r="B168" t="str">
        <f t="shared" si="2"/>
        <v>01</v>
      </c>
    </row>
    <row r="169" spans="2:2" x14ac:dyDescent="0.25">
      <c r="B169" t="str">
        <f t="shared" si="2"/>
        <v>01</v>
      </c>
    </row>
    <row r="170" spans="2:2" x14ac:dyDescent="0.25">
      <c r="B170" t="str">
        <f t="shared" si="2"/>
        <v>01</v>
      </c>
    </row>
    <row r="171" spans="2:2" x14ac:dyDescent="0.25">
      <c r="B171" t="str">
        <f t="shared" si="2"/>
        <v>01</v>
      </c>
    </row>
    <row r="172" spans="2:2" x14ac:dyDescent="0.25">
      <c r="B172" t="str">
        <f t="shared" si="2"/>
        <v>01</v>
      </c>
    </row>
    <row r="173" spans="2:2" x14ac:dyDescent="0.25">
      <c r="B173" t="str">
        <f t="shared" si="2"/>
        <v>01</v>
      </c>
    </row>
    <row r="174" spans="2:2" x14ac:dyDescent="0.25">
      <c r="B174" t="str">
        <f t="shared" si="2"/>
        <v>01</v>
      </c>
    </row>
    <row r="175" spans="2:2" x14ac:dyDescent="0.25">
      <c r="B175" t="str">
        <f t="shared" si="2"/>
        <v>01</v>
      </c>
    </row>
    <row r="176" spans="2:2" x14ac:dyDescent="0.25">
      <c r="B176" t="str">
        <f t="shared" si="2"/>
        <v>01</v>
      </c>
    </row>
    <row r="177" spans="2:2" x14ac:dyDescent="0.25">
      <c r="B177" t="str">
        <f t="shared" si="2"/>
        <v>01</v>
      </c>
    </row>
    <row r="178" spans="2:2" x14ac:dyDescent="0.25">
      <c r="B178" t="str">
        <f t="shared" si="2"/>
        <v>01</v>
      </c>
    </row>
    <row r="179" spans="2:2" x14ac:dyDescent="0.25">
      <c r="B179" t="str">
        <f t="shared" si="2"/>
        <v>01</v>
      </c>
    </row>
    <row r="180" spans="2:2" x14ac:dyDescent="0.25">
      <c r="B180" t="str">
        <f t="shared" si="2"/>
        <v>01</v>
      </c>
    </row>
    <row r="181" spans="2:2" x14ac:dyDescent="0.25">
      <c r="B181" t="str">
        <f t="shared" si="2"/>
        <v>01</v>
      </c>
    </row>
    <row r="182" spans="2:2" x14ac:dyDescent="0.25">
      <c r="B182" t="str">
        <f t="shared" si="2"/>
        <v>01</v>
      </c>
    </row>
    <row r="183" spans="2:2" x14ac:dyDescent="0.25">
      <c r="B183" t="str">
        <f t="shared" si="2"/>
        <v>01</v>
      </c>
    </row>
    <row r="184" spans="2:2" x14ac:dyDescent="0.25">
      <c r="B184" t="str">
        <f t="shared" si="2"/>
        <v>01</v>
      </c>
    </row>
    <row r="185" spans="2:2" x14ac:dyDescent="0.25">
      <c r="B185" t="str">
        <f t="shared" si="2"/>
        <v>01</v>
      </c>
    </row>
    <row r="186" spans="2:2" x14ac:dyDescent="0.25">
      <c r="B186" t="str">
        <f t="shared" si="2"/>
        <v>01</v>
      </c>
    </row>
    <row r="187" spans="2:2" x14ac:dyDescent="0.25">
      <c r="B187" t="str">
        <f t="shared" si="2"/>
        <v>01</v>
      </c>
    </row>
    <row r="188" spans="2:2" x14ac:dyDescent="0.25">
      <c r="B188" t="str">
        <f t="shared" si="2"/>
        <v>01</v>
      </c>
    </row>
    <row r="189" spans="2:2" x14ac:dyDescent="0.25">
      <c r="B189" t="str">
        <f t="shared" si="2"/>
        <v>01</v>
      </c>
    </row>
    <row r="190" spans="2:2" x14ac:dyDescent="0.25">
      <c r="B190" t="str">
        <f t="shared" si="2"/>
        <v>01</v>
      </c>
    </row>
    <row r="191" spans="2:2" x14ac:dyDescent="0.25">
      <c r="B191" t="str">
        <f t="shared" si="2"/>
        <v>01</v>
      </c>
    </row>
    <row r="192" spans="2:2" x14ac:dyDescent="0.25">
      <c r="B192" t="str">
        <f t="shared" si="2"/>
        <v>01</v>
      </c>
    </row>
    <row r="193" spans="2:2" x14ac:dyDescent="0.25">
      <c r="B193" t="str">
        <f t="shared" si="2"/>
        <v>01</v>
      </c>
    </row>
    <row r="194" spans="2:2" x14ac:dyDescent="0.25">
      <c r="B194" t="str">
        <f t="shared" si="2"/>
        <v>01</v>
      </c>
    </row>
    <row r="195" spans="2:2" x14ac:dyDescent="0.25">
      <c r="B195" t="str">
        <f t="shared" si="2"/>
        <v>01</v>
      </c>
    </row>
    <row r="196" spans="2:2" x14ac:dyDescent="0.25">
      <c r="B196" t="str">
        <f t="shared" si="2"/>
        <v>01</v>
      </c>
    </row>
    <row r="197" spans="2:2" x14ac:dyDescent="0.25">
      <c r="B197" t="str">
        <f t="shared" si="2"/>
        <v>01</v>
      </c>
    </row>
    <row r="198" spans="2:2" x14ac:dyDescent="0.25">
      <c r="B198" t="str">
        <f t="shared" ref="B198:B261" si="3">TEXT(C198,"MM")</f>
        <v>01</v>
      </c>
    </row>
    <row r="199" spans="2:2" x14ac:dyDescent="0.25">
      <c r="B199" t="str">
        <f t="shared" si="3"/>
        <v>01</v>
      </c>
    </row>
    <row r="200" spans="2:2" x14ac:dyDescent="0.25">
      <c r="B200" t="str">
        <f t="shared" si="3"/>
        <v>01</v>
      </c>
    </row>
    <row r="201" spans="2:2" x14ac:dyDescent="0.25">
      <c r="B201" t="str">
        <f t="shared" si="3"/>
        <v>01</v>
      </c>
    </row>
    <row r="202" spans="2:2" x14ac:dyDescent="0.25">
      <c r="B202" t="str">
        <f t="shared" si="3"/>
        <v>01</v>
      </c>
    </row>
    <row r="203" spans="2:2" x14ac:dyDescent="0.25">
      <c r="B203" t="str">
        <f t="shared" si="3"/>
        <v>01</v>
      </c>
    </row>
    <row r="204" spans="2:2" x14ac:dyDescent="0.25">
      <c r="B204" t="str">
        <f t="shared" si="3"/>
        <v>01</v>
      </c>
    </row>
    <row r="205" spans="2:2" x14ac:dyDescent="0.25">
      <c r="B205" t="str">
        <f t="shared" si="3"/>
        <v>01</v>
      </c>
    </row>
    <row r="206" spans="2:2" x14ac:dyDescent="0.25">
      <c r="B206" t="str">
        <f t="shared" si="3"/>
        <v>01</v>
      </c>
    </row>
    <row r="207" spans="2:2" x14ac:dyDescent="0.25">
      <c r="B207" t="str">
        <f t="shared" si="3"/>
        <v>01</v>
      </c>
    </row>
    <row r="208" spans="2:2" x14ac:dyDescent="0.25">
      <c r="B208" t="str">
        <f t="shared" si="3"/>
        <v>01</v>
      </c>
    </row>
    <row r="209" spans="2:2" x14ac:dyDescent="0.25">
      <c r="B209" t="str">
        <f t="shared" si="3"/>
        <v>01</v>
      </c>
    </row>
    <row r="210" spans="2:2" x14ac:dyDescent="0.25">
      <c r="B210" t="str">
        <f t="shared" si="3"/>
        <v>01</v>
      </c>
    </row>
    <row r="211" spans="2:2" x14ac:dyDescent="0.25">
      <c r="B211" t="str">
        <f t="shared" si="3"/>
        <v>01</v>
      </c>
    </row>
    <row r="212" spans="2:2" x14ac:dyDescent="0.25">
      <c r="B212" t="str">
        <f t="shared" si="3"/>
        <v>01</v>
      </c>
    </row>
    <row r="213" spans="2:2" x14ac:dyDescent="0.25">
      <c r="B213" t="str">
        <f t="shared" si="3"/>
        <v>01</v>
      </c>
    </row>
    <row r="214" spans="2:2" x14ac:dyDescent="0.25">
      <c r="B214" t="str">
        <f t="shared" si="3"/>
        <v>01</v>
      </c>
    </row>
    <row r="215" spans="2:2" x14ac:dyDescent="0.25">
      <c r="B215" t="str">
        <f t="shared" si="3"/>
        <v>01</v>
      </c>
    </row>
    <row r="216" spans="2:2" x14ac:dyDescent="0.25">
      <c r="B216" t="str">
        <f t="shared" si="3"/>
        <v>01</v>
      </c>
    </row>
    <row r="217" spans="2:2" x14ac:dyDescent="0.25">
      <c r="B217" t="str">
        <f t="shared" si="3"/>
        <v>01</v>
      </c>
    </row>
    <row r="218" spans="2:2" x14ac:dyDescent="0.25">
      <c r="B218" t="str">
        <f t="shared" si="3"/>
        <v>01</v>
      </c>
    </row>
    <row r="219" spans="2:2" x14ac:dyDescent="0.25">
      <c r="B219" t="str">
        <f t="shared" si="3"/>
        <v>01</v>
      </c>
    </row>
    <row r="220" spans="2:2" x14ac:dyDescent="0.25">
      <c r="B220" t="str">
        <f t="shared" si="3"/>
        <v>01</v>
      </c>
    </row>
    <row r="221" spans="2:2" x14ac:dyDescent="0.25">
      <c r="B221" t="str">
        <f t="shared" si="3"/>
        <v>01</v>
      </c>
    </row>
    <row r="222" spans="2:2" x14ac:dyDescent="0.25">
      <c r="B222" t="str">
        <f t="shared" si="3"/>
        <v>01</v>
      </c>
    </row>
    <row r="223" spans="2:2" x14ac:dyDescent="0.25">
      <c r="B223" t="str">
        <f t="shared" si="3"/>
        <v>01</v>
      </c>
    </row>
    <row r="224" spans="2:2" x14ac:dyDescent="0.25">
      <c r="B224" t="str">
        <f t="shared" si="3"/>
        <v>01</v>
      </c>
    </row>
    <row r="225" spans="2:2" x14ac:dyDescent="0.25">
      <c r="B225" t="str">
        <f t="shared" si="3"/>
        <v>01</v>
      </c>
    </row>
    <row r="226" spans="2:2" x14ac:dyDescent="0.25">
      <c r="B226" t="str">
        <f t="shared" si="3"/>
        <v>01</v>
      </c>
    </row>
    <row r="227" spans="2:2" x14ac:dyDescent="0.25">
      <c r="B227" t="str">
        <f t="shared" si="3"/>
        <v>01</v>
      </c>
    </row>
    <row r="228" spans="2:2" x14ac:dyDescent="0.25">
      <c r="B228" t="str">
        <f t="shared" si="3"/>
        <v>01</v>
      </c>
    </row>
    <row r="229" spans="2:2" x14ac:dyDescent="0.25">
      <c r="B229" t="str">
        <f t="shared" si="3"/>
        <v>01</v>
      </c>
    </row>
    <row r="230" spans="2:2" x14ac:dyDescent="0.25">
      <c r="B230" t="str">
        <f t="shared" si="3"/>
        <v>01</v>
      </c>
    </row>
    <row r="231" spans="2:2" x14ac:dyDescent="0.25">
      <c r="B231" t="str">
        <f t="shared" si="3"/>
        <v>01</v>
      </c>
    </row>
    <row r="232" spans="2:2" x14ac:dyDescent="0.25">
      <c r="B232" t="str">
        <f t="shared" si="3"/>
        <v>01</v>
      </c>
    </row>
    <row r="233" spans="2:2" x14ac:dyDescent="0.25">
      <c r="B233" t="str">
        <f t="shared" si="3"/>
        <v>01</v>
      </c>
    </row>
    <row r="234" spans="2:2" x14ac:dyDescent="0.25">
      <c r="B234" t="str">
        <f t="shared" si="3"/>
        <v>01</v>
      </c>
    </row>
    <row r="235" spans="2:2" x14ac:dyDescent="0.25">
      <c r="B235" t="str">
        <f t="shared" si="3"/>
        <v>01</v>
      </c>
    </row>
    <row r="236" spans="2:2" x14ac:dyDescent="0.25">
      <c r="B236" t="str">
        <f t="shared" si="3"/>
        <v>01</v>
      </c>
    </row>
    <row r="237" spans="2:2" x14ac:dyDescent="0.25">
      <c r="B237" t="str">
        <f t="shared" si="3"/>
        <v>01</v>
      </c>
    </row>
    <row r="238" spans="2:2" x14ac:dyDescent="0.25">
      <c r="B238" t="str">
        <f t="shared" si="3"/>
        <v>01</v>
      </c>
    </row>
    <row r="239" spans="2:2" x14ac:dyDescent="0.25">
      <c r="B239" t="str">
        <f t="shared" si="3"/>
        <v>01</v>
      </c>
    </row>
    <row r="240" spans="2:2" x14ac:dyDescent="0.25">
      <c r="B240" t="str">
        <f t="shared" si="3"/>
        <v>01</v>
      </c>
    </row>
    <row r="241" spans="2:2" x14ac:dyDescent="0.25">
      <c r="B241" t="str">
        <f t="shared" si="3"/>
        <v>01</v>
      </c>
    </row>
    <row r="242" spans="2:2" x14ac:dyDescent="0.25">
      <c r="B242" t="str">
        <f t="shared" si="3"/>
        <v>01</v>
      </c>
    </row>
    <row r="243" spans="2:2" x14ac:dyDescent="0.25">
      <c r="B243" t="str">
        <f t="shared" si="3"/>
        <v>01</v>
      </c>
    </row>
    <row r="244" spans="2:2" x14ac:dyDescent="0.25">
      <c r="B244" t="str">
        <f t="shared" si="3"/>
        <v>01</v>
      </c>
    </row>
    <row r="245" spans="2:2" x14ac:dyDescent="0.25">
      <c r="B245" t="str">
        <f t="shared" si="3"/>
        <v>01</v>
      </c>
    </row>
    <row r="246" spans="2:2" x14ac:dyDescent="0.25">
      <c r="B246" t="str">
        <f t="shared" si="3"/>
        <v>01</v>
      </c>
    </row>
    <row r="247" spans="2:2" x14ac:dyDescent="0.25">
      <c r="B247" t="str">
        <f t="shared" si="3"/>
        <v>01</v>
      </c>
    </row>
    <row r="248" spans="2:2" x14ac:dyDescent="0.25">
      <c r="B248" t="str">
        <f t="shared" si="3"/>
        <v>01</v>
      </c>
    </row>
    <row r="249" spans="2:2" x14ac:dyDescent="0.25">
      <c r="B249" t="str">
        <f t="shared" si="3"/>
        <v>01</v>
      </c>
    </row>
    <row r="250" spans="2:2" x14ac:dyDescent="0.25">
      <c r="B250" t="str">
        <f t="shared" si="3"/>
        <v>01</v>
      </c>
    </row>
    <row r="251" spans="2:2" x14ac:dyDescent="0.25">
      <c r="B251" t="str">
        <f t="shared" si="3"/>
        <v>01</v>
      </c>
    </row>
    <row r="252" spans="2:2" x14ac:dyDescent="0.25">
      <c r="B252" t="str">
        <f t="shared" si="3"/>
        <v>01</v>
      </c>
    </row>
    <row r="253" spans="2:2" x14ac:dyDescent="0.25">
      <c r="B253" t="str">
        <f t="shared" si="3"/>
        <v>01</v>
      </c>
    </row>
    <row r="254" spans="2:2" x14ac:dyDescent="0.25">
      <c r="B254" t="str">
        <f t="shared" si="3"/>
        <v>01</v>
      </c>
    </row>
    <row r="255" spans="2:2" x14ac:dyDescent="0.25">
      <c r="B255" t="str">
        <f t="shared" si="3"/>
        <v>01</v>
      </c>
    </row>
    <row r="256" spans="2:2" x14ac:dyDescent="0.25">
      <c r="B256" t="str">
        <f t="shared" si="3"/>
        <v>01</v>
      </c>
    </row>
    <row r="257" spans="2:2" x14ac:dyDescent="0.25">
      <c r="B257" t="str">
        <f t="shared" si="3"/>
        <v>01</v>
      </c>
    </row>
    <row r="258" spans="2:2" x14ac:dyDescent="0.25">
      <c r="B258" t="str">
        <f t="shared" si="3"/>
        <v>01</v>
      </c>
    </row>
    <row r="259" spans="2:2" x14ac:dyDescent="0.25">
      <c r="B259" t="str">
        <f t="shared" si="3"/>
        <v>01</v>
      </c>
    </row>
    <row r="260" spans="2:2" x14ac:dyDescent="0.25">
      <c r="B260" t="str">
        <f t="shared" si="3"/>
        <v>01</v>
      </c>
    </row>
    <row r="261" spans="2:2" x14ac:dyDescent="0.25">
      <c r="B261" t="str">
        <f t="shared" si="3"/>
        <v>01</v>
      </c>
    </row>
    <row r="262" spans="2:2" x14ac:dyDescent="0.25">
      <c r="B262" t="str">
        <f t="shared" ref="B262:B325" si="4">TEXT(C262,"MM")</f>
        <v>01</v>
      </c>
    </row>
    <row r="263" spans="2:2" x14ac:dyDescent="0.25">
      <c r="B263" t="str">
        <f t="shared" si="4"/>
        <v>01</v>
      </c>
    </row>
    <row r="264" spans="2:2" x14ac:dyDescent="0.25">
      <c r="B264" t="str">
        <f t="shared" si="4"/>
        <v>01</v>
      </c>
    </row>
    <row r="265" spans="2:2" x14ac:dyDescent="0.25">
      <c r="B265" t="str">
        <f t="shared" si="4"/>
        <v>01</v>
      </c>
    </row>
    <row r="266" spans="2:2" x14ac:dyDescent="0.25">
      <c r="B266" t="str">
        <f t="shared" si="4"/>
        <v>01</v>
      </c>
    </row>
    <row r="267" spans="2:2" x14ac:dyDescent="0.25">
      <c r="B267" t="str">
        <f t="shared" si="4"/>
        <v>01</v>
      </c>
    </row>
    <row r="268" spans="2:2" x14ac:dyDescent="0.25">
      <c r="B268" t="str">
        <f t="shared" si="4"/>
        <v>01</v>
      </c>
    </row>
    <row r="269" spans="2:2" x14ac:dyDescent="0.25">
      <c r="B269" t="str">
        <f t="shared" si="4"/>
        <v>01</v>
      </c>
    </row>
    <row r="270" spans="2:2" x14ac:dyDescent="0.25">
      <c r="B270" t="str">
        <f t="shared" si="4"/>
        <v>01</v>
      </c>
    </row>
    <row r="271" spans="2:2" x14ac:dyDescent="0.25">
      <c r="B271" t="str">
        <f t="shared" si="4"/>
        <v>01</v>
      </c>
    </row>
    <row r="272" spans="2:2" x14ac:dyDescent="0.25">
      <c r="B272" t="str">
        <f t="shared" si="4"/>
        <v>01</v>
      </c>
    </row>
    <row r="273" spans="2:2" x14ac:dyDescent="0.25">
      <c r="B273" t="str">
        <f t="shared" si="4"/>
        <v>01</v>
      </c>
    </row>
    <row r="274" spans="2:2" x14ac:dyDescent="0.25">
      <c r="B274" t="str">
        <f t="shared" si="4"/>
        <v>01</v>
      </c>
    </row>
    <row r="275" spans="2:2" x14ac:dyDescent="0.25">
      <c r="B275" t="str">
        <f t="shared" si="4"/>
        <v>01</v>
      </c>
    </row>
    <row r="276" spans="2:2" x14ac:dyDescent="0.25">
      <c r="B276" t="str">
        <f t="shared" si="4"/>
        <v>01</v>
      </c>
    </row>
    <row r="277" spans="2:2" x14ac:dyDescent="0.25">
      <c r="B277" t="str">
        <f t="shared" si="4"/>
        <v>01</v>
      </c>
    </row>
    <row r="278" spans="2:2" x14ac:dyDescent="0.25">
      <c r="B278" t="str">
        <f t="shared" si="4"/>
        <v>01</v>
      </c>
    </row>
    <row r="279" spans="2:2" x14ac:dyDescent="0.25">
      <c r="B279" t="str">
        <f t="shared" si="4"/>
        <v>01</v>
      </c>
    </row>
    <row r="280" spans="2:2" x14ac:dyDescent="0.25">
      <c r="B280" t="str">
        <f t="shared" si="4"/>
        <v>01</v>
      </c>
    </row>
    <row r="281" spans="2:2" x14ac:dyDescent="0.25">
      <c r="B281" t="str">
        <f t="shared" si="4"/>
        <v>01</v>
      </c>
    </row>
    <row r="282" spans="2:2" x14ac:dyDescent="0.25">
      <c r="B282" t="str">
        <f t="shared" si="4"/>
        <v>01</v>
      </c>
    </row>
    <row r="283" spans="2:2" x14ac:dyDescent="0.25">
      <c r="B283" t="str">
        <f t="shared" si="4"/>
        <v>01</v>
      </c>
    </row>
    <row r="284" spans="2:2" x14ac:dyDescent="0.25">
      <c r="B284" t="str">
        <f t="shared" si="4"/>
        <v>01</v>
      </c>
    </row>
    <row r="285" spans="2:2" x14ac:dyDescent="0.25">
      <c r="B285" t="str">
        <f t="shared" si="4"/>
        <v>01</v>
      </c>
    </row>
    <row r="286" spans="2:2" x14ac:dyDescent="0.25">
      <c r="B286" t="str">
        <f t="shared" si="4"/>
        <v>01</v>
      </c>
    </row>
    <row r="287" spans="2:2" x14ac:dyDescent="0.25">
      <c r="B287" t="str">
        <f t="shared" si="4"/>
        <v>01</v>
      </c>
    </row>
    <row r="288" spans="2:2" x14ac:dyDescent="0.25">
      <c r="B288" t="str">
        <f t="shared" si="4"/>
        <v>01</v>
      </c>
    </row>
    <row r="289" spans="2:2" x14ac:dyDescent="0.25">
      <c r="B289" t="str">
        <f t="shared" si="4"/>
        <v>01</v>
      </c>
    </row>
    <row r="290" spans="2:2" x14ac:dyDescent="0.25">
      <c r="B290" t="str">
        <f t="shared" si="4"/>
        <v>01</v>
      </c>
    </row>
    <row r="291" spans="2:2" x14ac:dyDescent="0.25">
      <c r="B291" t="str">
        <f t="shared" si="4"/>
        <v>01</v>
      </c>
    </row>
    <row r="292" spans="2:2" x14ac:dyDescent="0.25">
      <c r="B292" t="str">
        <f t="shared" si="4"/>
        <v>01</v>
      </c>
    </row>
    <row r="293" spans="2:2" x14ac:dyDescent="0.25">
      <c r="B293" t="str">
        <f t="shared" si="4"/>
        <v>01</v>
      </c>
    </row>
    <row r="294" spans="2:2" x14ac:dyDescent="0.25">
      <c r="B294" t="str">
        <f t="shared" si="4"/>
        <v>01</v>
      </c>
    </row>
    <row r="295" spans="2:2" x14ac:dyDescent="0.25">
      <c r="B295" t="str">
        <f t="shared" si="4"/>
        <v>01</v>
      </c>
    </row>
    <row r="296" spans="2:2" x14ac:dyDescent="0.25">
      <c r="B296" t="str">
        <f t="shared" si="4"/>
        <v>01</v>
      </c>
    </row>
    <row r="297" spans="2:2" x14ac:dyDescent="0.25">
      <c r="B297" t="str">
        <f t="shared" si="4"/>
        <v>01</v>
      </c>
    </row>
    <row r="298" spans="2:2" x14ac:dyDescent="0.25">
      <c r="B298" t="str">
        <f t="shared" si="4"/>
        <v>01</v>
      </c>
    </row>
    <row r="299" spans="2:2" x14ac:dyDescent="0.25">
      <c r="B299" t="str">
        <f t="shared" si="4"/>
        <v>01</v>
      </c>
    </row>
    <row r="300" spans="2:2" x14ac:dyDescent="0.25">
      <c r="B300" t="str">
        <f t="shared" si="4"/>
        <v>01</v>
      </c>
    </row>
    <row r="301" spans="2:2" x14ac:dyDescent="0.25">
      <c r="B301" t="str">
        <f t="shared" si="4"/>
        <v>01</v>
      </c>
    </row>
    <row r="302" spans="2:2" x14ac:dyDescent="0.25">
      <c r="B302" t="str">
        <f t="shared" si="4"/>
        <v>01</v>
      </c>
    </row>
    <row r="303" spans="2:2" x14ac:dyDescent="0.25">
      <c r="B303" t="str">
        <f t="shared" si="4"/>
        <v>01</v>
      </c>
    </row>
    <row r="304" spans="2:2" x14ac:dyDescent="0.25">
      <c r="B304" t="str">
        <f t="shared" si="4"/>
        <v>01</v>
      </c>
    </row>
    <row r="305" spans="2:2" x14ac:dyDescent="0.25">
      <c r="B305" t="str">
        <f t="shared" si="4"/>
        <v>01</v>
      </c>
    </row>
    <row r="306" spans="2:2" x14ac:dyDescent="0.25">
      <c r="B306" t="str">
        <f t="shared" si="4"/>
        <v>01</v>
      </c>
    </row>
    <row r="307" spans="2:2" x14ac:dyDescent="0.25">
      <c r="B307" t="str">
        <f t="shared" si="4"/>
        <v>01</v>
      </c>
    </row>
    <row r="308" spans="2:2" x14ac:dyDescent="0.25">
      <c r="B308" t="str">
        <f t="shared" si="4"/>
        <v>01</v>
      </c>
    </row>
    <row r="309" spans="2:2" x14ac:dyDescent="0.25">
      <c r="B309" t="str">
        <f t="shared" si="4"/>
        <v>01</v>
      </c>
    </row>
    <row r="310" spans="2:2" x14ac:dyDescent="0.25">
      <c r="B310" t="str">
        <f t="shared" si="4"/>
        <v>01</v>
      </c>
    </row>
    <row r="311" spans="2:2" x14ac:dyDescent="0.25">
      <c r="B311" t="str">
        <f t="shared" si="4"/>
        <v>01</v>
      </c>
    </row>
    <row r="312" spans="2:2" x14ac:dyDescent="0.25">
      <c r="B312" t="str">
        <f t="shared" si="4"/>
        <v>01</v>
      </c>
    </row>
    <row r="313" spans="2:2" x14ac:dyDescent="0.25">
      <c r="B313" t="str">
        <f t="shared" si="4"/>
        <v>01</v>
      </c>
    </row>
    <row r="314" spans="2:2" x14ac:dyDescent="0.25">
      <c r="B314" t="str">
        <f t="shared" si="4"/>
        <v>01</v>
      </c>
    </row>
    <row r="315" spans="2:2" x14ac:dyDescent="0.25">
      <c r="B315" t="str">
        <f t="shared" si="4"/>
        <v>01</v>
      </c>
    </row>
    <row r="316" spans="2:2" x14ac:dyDescent="0.25">
      <c r="B316" t="str">
        <f t="shared" si="4"/>
        <v>01</v>
      </c>
    </row>
    <row r="317" spans="2:2" x14ac:dyDescent="0.25">
      <c r="B317" t="str">
        <f t="shared" si="4"/>
        <v>01</v>
      </c>
    </row>
    <row r="318" spans="2:2" x14ac:dyDescent="0.25">
      <c r="B318" t="str">
        <f t="shared" si="4"/>
        <v>01</v>
      </c>
    </row>
    <row r="319" spans="2:2" x14ac:dyDescent="0.25">
      <c r="B319" t="str">
        <f t="shared" si="4"/>
        <v>01</v>
      </c>
    </row>
    <row r="320" spans="2:2" x14ac:dyDescent="0.25">
      <c r="B320" t="str">
        <f t="shared" si="4"/>
        <v>01</v>
      </c>
    </row>
    <row r="321" spans="2:2" x14ac:dyDescent="0.25">
      <c r="B321" t="str">
        <f t="shared" si="4"/>
        <v>01</v>
      </c>
    </row>
    <row r="322" spans="2:2" x14ac:dyDescent="0.25">
      <c r="B322" t="str">
        <f t="shared" si="4"/>
        <v>01</v>
      </c>
    </row>
    <row r="323" spans="2:2" x14ac:dyDescent="0.25">
      <c r="B323" t="str">
        <f t="shared" si="4"/>
        <v>01</v>
      </c>
    </row>
    <row r="324" spans="2:2" x14ac:dyDescent="0.25">
      <c r="B324" t="str">
        <f t="shared" si="4"/>
        <v>01</v>
      </c>
    </row>
    <row r="325" spans="2:2" x14ac:dyDescent="0.25">
      <c r="B325" t="str">
        <f t="shared" si="4"/>
        <v>01</v>
      </c>
    </row>
    <row r="326" spans="2:2" x14ac:dyDescent="0.25">
      <c r="B326" t="str">
        <f t="shared" ref="B326:B389" si="5">TEXT(C326,"MM")</f>
        <v>01</v>
      </c>
    </row>
    <row r="327" spans="2:2" x14ac:dyDescent="0.25">
      <c r="B327" t="str">
        <f t="shared" si="5"/>
        <v>01</v>
      </c>
    </row>
    <row r="328" spans="2:2" x14ac:dyDescent="0.25">
      <c r="B328" t="str">
        <f t="shared" si="5"/>
        <v>01</v>
      </c>
    </row>
    <row r="329" spans="2:2" x14ac:dyDescent="0.25">
      <c r="B329" t="str">
        <f t="shared" si="5"/>
        <v>01</v>
      </c>
    </row>
    <row r="330" spans="2:2" x14ac:dyDescent="0.25">
      <c r="B330" t="str">
        <f t="shared" si="5"/>
        <v>01</v>
      </c>
    </row>
    <row r="331" spans="2:2" x14ac:dyDescent="0.25">
      <c r="B331" t="str">
        <f t="shared" si="5"/>
        <v>01</v>
      </c>
    </row>
    <row r="332" spans="2:2" x14ac:dyDescent="0.25">
      <c r="B332" t="str">
        <f t="shared" si="5"/>
        <v>01</v>
      </c>
    </row>
    <row r="333" spans="2:2" x14ac:dyDescent="0.25">
      <c r="B333" t="str">
        <f t="shared" si="5"/>
        <v>01</v>
      </c>
    </row>
    <row r="334" spans="2:2" x14ac:dyDescent="0.25">
      <c r="B334" t="str">
        <f t="shared" si="5"/>
        <v>01</v>
      </c>
    </row>
    <row r="335" spans="2:2" x14ac:dyDescent="0.25">
      <c r="B335" t="str">
        <f t="shared" si="5"/>
        <v>01</v>
      </c>
    </row>
    <row r="336" spans="2:2" x14ac:dyDescent="0.25">
      <c r="B336" t="str">
        <f t="shared" si="5"/>
        <v>01</v>
      </c>
    </row>
    <row r="337" spans="2:2" x14ac:dyDescent="0.25">
      <c r="B337" t="str">
        <f t="shared" si="5"/>
        <v>01</v>
      </c>
    </row>
    <row r="338" spans="2:2" x14ac:dyDescent="0.25">
      <c r="B338" t="str">
        <f t="shared" si="5"/>
        <v>01</v>
      </c>
    </row>
    <row r="339" spans="2:2" x14ac:dyDescent="0.25">
      <c r="B339" t="str">
        <f t="shared" si="5"/>
        <v>01</v>
      </c>
    </row>
    <row r="340" spans="2:2" x14ac:dyDescent="0.25">
      <c r="B340" t="str">
        <f t="shared" si="5"/>
        <v>01</v>
      </c>
    </row>
    <row r="341" spans="2:2" x14ac:dyDescent="0.25">
      <c r="B341" t="str">
        <f t="shared" si="5"/>
        <v>01</v>
      </c>
    </row>
    <row r="342" spans="2:2" x14ac:dyDescent="0.25">
      <c r="B342" t="str">
        <f t="shared" si="5"/>
        <v>01</v>
      </c>
    </row>
    <row r="343" spans="2:2" x14ac:dyDescent="0.25">
      <c r="B343" t="str">
        <f t="shared" si="5"/>
        <v>01</v>
      </c>
    </row>
    <row r="344" spans="2:2" x14ac:dyDescent="0.25">
      <c r="B344" t="str">
        <f t="shared" si="5"/>
        <v>01</v>
      </c>
    </row>
    <row r="345" spans="2:2" x14ac:dyDescent="0.25">
      <c r="B345" t="str">
        <f t="shared" si="5"/>
        <v>01</v>
      </c>
    </row>
    <row r="346" spans="2:2" x14ac:dyDescent="0.25">
      <c r="B346" t="str">
        <f t="shared" si="5"/>
        <v>01</v>
      </c>
    </row>
    <row r="347" spans="2:2" x14ac:dyDescent="0.25">
      <c r="B347" t="str">
        <f t="shared" si="5"/>
        <v>01</v>
      </c>
    </row>
    <row r="348" spans="2:2" x14ac:dyDescent="0.25">
      <c r="B348" t="str">
        <f t="shared" si="5"/>
        <v>01</v>
      </c>
    </row>
    <row r="349" spans="2:2" x14ac:dyDescent="0.25">
      <c r="B349" t="str">
        <f t="shared" si="5"/>
        <v>01</v>
      </c>
    </row>
    <row r="350" spans="2:2" x14ac:dyDescent="0.25">
      <c r="B350" t="str">
        <f t="shared" si="5"/>
        <v>01</v>
      </c>
    </row>
    <row r="351" spans="2:2" x14ac:dyDescent="0.25">
      <c r="B351" t="str">
        <f t="shared" si="5"/>
        <v>01</v>
      </c>
    </row>
    <row r="352" spans="2:2" x14ac:dyDescent="0.25">
      <c r="B352" t="str">
        <f t="shared" si="5"/>
        <v>01</v>
      </c>
    </row>
    <row r="353" spans="2:2" x14ac:dyDescent="0.25">
      <c r="B353" t="str">
        <f t="shared" si="5"/>
        <v>01</v>
      </c>
    </row>
    <row r="354" spans="2:2" x14ac:dyDescent="0.25">
      <c r="B354" t="str">
        <f t="shared" si="5"/>
        <v>01</v>
      </c>
    </row>
    <row r="355" spans="2:2" x14ac:dyDescent="0.25">
      <c r="B355" t="str">
        <f t="shared" si="5"/>
        <v>01</v>
      </c>
    </row>
    <row r="356" spans="2:2" x14ac:dyDescent="0.25">
      <c r="B356" t="str">
        <f t="shared" si="5"/>
        <v>01</v>
      </c>
    </row>
    <row r="357" spans="2:2" x14ac:dyDescent="0.25">
      <c r="B357" t="str">
        <f t="shared" si="5"/>
        <v>01</v>
      </c>
    </row>
    <row r="358" spans="2:2" x14ac:dyDescent="0.25">
      <c r="B358" t="str">
        <f t="shared" si="5"/>
        <v>01</v>
      </c>
    </row>
    <row r="359" spans="2:2" x14ac:dyDescent="0.25">
      <c r="B359" t="str">
        <f t="shared" si="5"/>
        <v>01</v>
      </c>
    </row>
    <row r="360" spans="2:2" x14ac:dyDescent="0.25">
      <c r="B360" t="str">
        <f t="shared" si="5"/>
        <v>01</v>
      </c>
    </row>
    <row r="361" spans="2:2" x14ac:dyDescent="0.25">
      <c r="B361" t="str">
        <f t="shared" si="5"/>
        <v>01</v>
      </c>
    </row>
    <row r="362" spans="2:2" x14ac:dyDescent="0.25">
      <c r="B362" t="str">
        <f t="shared" si="5"/>
        <v>01</v>
      </c>
    </row>
    <row r="363" spans="2:2" x14ac:dyDescent="0.25">
      <c r="B363" t="str">
        <f t="shared" si="5"/>
        <v>01</v>
      </c>
    </row>
    <row r="364" spans="2:2" x14ac:dyDescent="0.25">
      <c r="B364" t="str">
        <f t="shared" si="5"/>
        <v>01</v>
      </c>
    </row>
    <row r="365" spans="2:2" x14ac:dyDescent="0.25">
      <c r="B365" t="str">
        <f t="shared" si="5"/>
        <v>01</v>
      </c>
    </row>
    <row r="366" spans="2:2" x14ac:dyDescent="0.25">
      <c r="B366" t="str">
        <f t="shared" si="5"/>
        <v>01</v>
      </c>
    </row>
    <row r="367" spans="2:2" x14ac:dyDescent="0.25">
      <c r="B367" t="str">
        <f t="shared" si="5"/>
        <v>01</v>
      </c>
    </row>
    <row r="368" spans="2:2" x14ac:dyDescent="0.25">
      <c r="B368" t="str">
        <f t="shared" si="5"/>
        <v>01</v>
      </c>
    </row>
    <row r="369" spans="2:2" x14ac:dyDescent="0.25">
      <c r="B369" t="str">
        <f t="shared" si="5"/>
        <v>01</v>
      </c>
    </row>
    <row r="370" spans="2:2" x14ac:dyDescent="0.25">
      <c r="B370" t="str">
        <f t="shared" si="5"/>
        <v>01</v>
      </c>
    </row>
    <row r="371" spans="2:2" x14ac:dyDescent="0.25">
      <c r="B371" t="str">
        <f t="shared" si="5"/>
        <v>01</v>
      </c>
    </row>
    <row r="372" spans="2:2" x14ac:dyDescent="0.25">
      <c r="B372" t="str">
        <f t="shared" si="5"/>
        <v>01</v>
      </c>
    </row>
    <row r="373" spans="2:2" x14ac:dyDescent="0.25">
      <c r="B373" t="str">
        <f t="shared" si="5"/>
        <v>01</v>
      </c>
    </row>
    <row r="374" spans="2:2" x14ac:dyDescent="0.25">
      <c r="B374" t="str">
        <f t="shared" si="5"/>
        <v>01</v>
      </c>
    </row>
    <row r="375" spans="2:2" x14ac:dyDescent="0.25">
      <c r="B375" t="str">
        <f t="shared" si="5"/>
        <v>01</v>
      </c>
    </row>
    <row r="376" spans="2:2" x14ac:dyDescent="0.25">
      <c r="B376" t="str">
        <f t="shared" si="5"/>
        <v>01</v>
      </c>
    </row>
    <row r="377" spans="2:2" x14ac:dyDescent="0.25">
      <c r="B377" t="str">
        <f t="shared" si="5"/>
        <v>01</v>
      </c>
    </row>
    <row r="378" spans="2:2" x14ac:dyDescent="0.25">
      <c r="B378" t="str">
        <f t="shared" si="5"/>
        <v>01</v>
      </c>
    </row>
    <row r="379" spans="2:2" x14ac:dyDescent="0.25">
      <c r="B379" t="str">
        <f t="shared" si="5"/>
        <v>01</v>
      </c>
    </row>
    <row r="380" spans="2:2" x14ac:dyDescent="0.25">
      <c r="B380" t="str">
        <f t="shared" si="5"/>
        <v>01</v>
      </c>
    </row>
    <row r="381" spans="2:2" x14ac:dyDescent="0.25">
      <c r="B381" t="str">
        <f t="shared" si="5"/>
        <v>01</v>
      </c>
    </row>
    <row r="382" spans="2:2" x14ac:dyDescent="0.25">
      <c r="B382" t="str">
        <f t="shared" si="5"/>
        <v>01</v>
      </c>
    </row>
    <row r="383" spans="2:2" x14ac:dyDescent="0.25">
      <c r="B383" t="str">
        <f t="shared" si="5"/>
        <v>01</v>
      </c>
    </row>
    <row r="384" spans="2:2" x14ac:dyDescent="0.25">
      <c r="B384" t="str">
        <f t="shared" si="5"/>
        <v>01</v>
      </c>
    </row>
    <row r="385" spans="2:2" x14ac:dyDescent="0.25">
      <c r="B385" t="str">
        <f t="shared" si="5"/>
        <v>01</v>
      </c>
    </row>
    <row r="386" spans="2:2" x14ac:dyDescent="0.25">
      <c r="B386" t="str">
        <f t="shared" si="5"/>
        <v>01</v>
      </c>
    </row>
    <row r="387" spans="2:2" x14ac:dyDescent="0.25">
      <c r="B387" t="str">
        <f t="shared" si="5"/>
        <v>01</v>
      </c>
    </row>
    <row r="388" spans="2:2" x14ac:dyDescent="0.25">
      <c r="B388" t="str">
        <f t="shared" si="5"/>
        <v>01</v>
      </c>
    </row>
    <row r="389" spans="2:2" x14ac:dyDescent="0.25">
      <c r="B389" t="str">
        <f t="shared" si="5"/>
        <v>01</v>
      </c>
    </row>
    <row r="390" spans="2:2" x14ac:dyDescent="0.25">
      <c r="B390" t="str">
        <f t="shared" ref="B390:B453" si="6">TEXT(C390,"MM")</f>
        <v>01</v>
      </c>
    </row>
    <row r="391" spans="2:2" x14ac:dyDescent="0.25">
      <c r="B391" t="str">
        <f t="shared" si="6"/>
        <v>01</v>
      </c>
    </row>
    <row r="392" spans="2:2" x14ac:dyDescent="0.25">
      <c r="B392" t="str">
        <f t="shared" si="6"/>
        <v>01</v>
      </c>
    </row>
    <row r="393" spans="2:2" x14ac:dyDescent="0.25">
      <c r="B393" t="str">
        <f t="shared" si="6"/>
        <v>01</v>
      </c>
    </row>
    <row r="394" spans="2:2" x14ac:dyDescent="0.25">
      <c r="B394" t="str">
        <f t="shared" si="6"/>
        <v>01</v>
      </c>
    </row>
    <row r="395" spans="2:2" x14ac:dyDescent="0.25">
      <c r="B395" t="str">
        <f t="shared" si="6"/>
        <v>01</v>
      </c>
    </row>
    <row r="396" spans="2:2" x14ac:dyDescent="0.25">
      <c r="B396" t="str">
        <f t="shared" si="6"/>
        <v>01</v>
      </c>
    </row>
    <row r="397" spans="2:2" x14ac:dyDescent="0.25">
      <c r="B397" t="str">
        <f t="shared" si="6"/>
        <v>01</v>
      </c>
    </row>
    <row r="398" spans="2:2" x14ac:dyDescent="0.25">
      <c r="B398" t="str">
        <f t="shared" si="6"/>
        <v>01</v>
      </c>
    </row>
    <row r="399" spans="2:2" x14ac:dyDescent="0.25">
      <c r="B399" t="str">
        <f t="shared" si="6"/>
        <v>01</v>
      </c>
    </row>
    <row r="400" spans="2:2" x14ac:dyDescent="0.25">
      <c r="B400" t="str">
        <f t="shared" si="6"/>
        <v>01</v>
      </c>
    </row>
    <row r="401" spans="2:2" x14ac:dyDescent="0.25">
      <c r="B401" t="str">
        <f t="shared" si="6"/>
        <v>01</v>
      </c>
    </row>
    <row r="402" spans="2:2" x14ac:dyDescent="0.25">
      <c r="B402" t="str">
        <f t="shared" si="6"/>
        <v>01</v>
      </c>
    </row>
    <row r="403" spans="2:2" x14ac:dyDescent="0.25">
      <c r="B403" t="str">
        <f t="shared" si="6"/>
        <v>01</v>
      </c>
    </row>
    <row r="404" spans="2:2" x14ac:dyDescent="0.25">
      <c r="B404" t="str">
        <f t="shared" si="6"/>
        <v>01</v>
      </c>
    </row>
    <row r="405" spans="2:2" x14ac:dyDescent="0.25">
      <c r="B405" t="str">
        <f t="shared" si="6"/>
        <v>01</v>
      </c>
    </row>
    <row r="406" spans="2:2" x14ac:dyDescent="0.25">
      <c r="B406" t="str">
        <f t="shared" si="6"/>
        <v>01</v>
      </c>
    </row>
    <row r="407" spans="2:2" x14ac:dyDescent="0.25">
      <c r="B407" t="str">
        <f t="shared" si="6"/>
        <v>01</v>
      </c>
    </row>
    <row r="408" spans="2:2" x14ac:dyDescent="0.25">
      <c r="B408" t="str">
        <f t="shared" si="6"/>
        <v>01</v>
      </c>
    </row>
    <row r="409" spans="2:2" x14ac:dyDescent="0.25">
      <c r="B409" t="str">
        <f t="shared" si="6"/>
        <v>01</v>
      </c>
    </row>
    <row r="410" spans="2:2" x14ac:dyDescent="0.25">
      <c r="B410" t="str">
        <f t="shared" si="6"/>
        <v>01</v>
      </c>
    </row>
    <row r="411" spans="2:2" x14ac:dyDescent="0.25">
      <c r="B411" t="str">
        <f t="shared" si="6"/>
        <v>01</v>
      </c>
    </row>
    <row r="412" spans="2:2" x14ac:dyDescent="0.25">
      <c r="B412" t="str">
        <f t="shared" si="6"/>
        <v>01</v>
      </c>
    </row>
    <row r="413" spans="2:2" x14ac:dyDescent="0.25">
      <c r="B413" t="str">
        <f t="shared" si="6"/>
        <v>01</v>
      </c>
    </row>
    <row r="414" spans="2:2" x14ac:dyDescent="0.25">
      <c r="B414" t="str">
        <f t="shared" si="6"/>
        <v>01</v>
      </c>
    </row>
    <row r="415" spans="2:2" x14ac:dyDescent="0.25">
      <c r="B415" t="str">
        <f t="shared" si="6"/>
        <v>01</v>
      </c>
    </row>
    <row r="416" spans="2:2" x14ac:dyDescent="0.25">
      <c r="B416" t="str">
        <f t="shared" si="6"/>
        <v>01</v>
      </c>
    </row>
    <row r="417" spans="2:2" x14ac:dyDescent="0.25">
      <c r="B417" t="str">
        <f t="shared" si="6"/>
        <v>01</v>
      </c>
    </row>
    <row r="418" spans="2:2" x14ac:dyDescent="0.25">
      <c r="B418" t="str">
        <f t="shared" si="6"/>
        <v>01</v>
      </c>
    </row>
    <row r="419" spans="2:2" x14ac:dyDescent="0.25">
      <c r="B419" t="str">
        <f t="shared" si="6"/>
        <v>01</v>
      </c>
    </row>
    <row r="420" spans="2:2" x14ac:dyDescent="0.25">
      <c r="B420" t="str">
        <f t="shared" si="6"/>
        <v>01</v>
      </c>
    </row>
    <row r="421" spans="2:2" x14ac:dyDescent="0.25">
      <c r="B421" t="str">
        <f t="shared" si="6"/>
        <v>01</v>
      </c>
    </row>
    <row r="422" spans="2:2" x14ac:dyDescent="0.25">
      <c r="B422" t="str">
        <f t="shared" si="6"/>
        <v>01</v>
      </c>
    </row>
    <row r="423" spans="2:2" x14ac:dyDescent="0.25">
      <c r="B423" t="str">
        <f t="shared" si="6"/>
        <v>01</v>
      </c>
    </row>
    <row r="424" spans="2:2" x14ac:dyDescent="0.25">
      <c r="B424" t="str">
        <f t="shared" si="6"/>
        <v>01</v>
      </c>
    </row>
    <row r="425" spans="2:2" x14ac:dyDescent="0.25">
      <c r="B425" t="str">
        <f t="shared" si="6"/>
        <v>01</v>
      </c>
    </row>
    <row r="426" spans="2:2" x14ac:dyDescent="0.25">
      <c r="B426" t="str">
        <f t="shared" si="6"/>
        <v>01</v>
      </c>
    </row>
    <row r="427" spans="2:2" x14ac:dyDescent="0.25">
      <c r="B427" t="str">
        <f t="shared" si="6"/>
        <v>01</v>
      </c>
    </row>
    <row r="428" spans="2:2" x14ac:dyDescent="0.25">
      <c r="B428" t="str">
        <f t="shared" si="6"/>
        <v>01</v>
      </c>
    </row>
    <row r="429" spans="2:2" x14ac:dyDescent="0.25">
      <c r="B429" t="str">
        <f t="shared" si="6"/>
        <v>01</v>
      </c>
    </row>
    <row r="430" spans="2:2" x14ac:dyDescent="0.25">
      <c r="B430" t="str">
        <f t="shared" si="6"/>
        <v>01</v>
      </c>
    </row>
    <row r="431" spans="2:2" x14ac:dyDescent="0.25">
      <c r="B431" t="str">
        <f t="shared" si="6"/>
        <v>01</v>
      </c>
    </row>
    <row r="432" spans="2:2" x14ac:dyDescent="0.25">
      <c r="B432" t="str">
        <f t="shared" si="6"/>
        <v>01</v>
      </c>
    </row>
    <row r="433" spans="2:2" x14ac:dyDescent="0.25">
      <c r="B433" t="str">
        <f t="shared" si="6"/>
        <v>01</v>
      </c>
    </row>
    <row r="434" spans="2:2" x14ac:dyDescent="0.25">
      <c r="B434" t="str">
        <f t="shared" si="6"/>
        <v>01</v>
      </c>
    </row>
    <row r="435" spans="2:2" x14ac:dyDescent="0.25">
      <c r="B435" t="str">
        <f t="shared" si="6"/>
        <v>01</v>
      </c>
    </row>
    <row r="436" spans="2:2" x14ac:dyDescent="0.25">
      <c r="B436" t="str">
        <f t="shared" si="6"/>
        <v>01</v>
      </c>
    </row>
    <row r="437" spans="2:2" x14ac:dyDescent="0.25">
      <c r="B437" t="str">
        <f t="shared" si="6"/>
        <v>01</v>
      </c>
    </row>
    <row r="438" spans="2:2" x14ac:dyDescent="0.25">
      <c r="B438" t="str">
        <f t="shared" si="6"/>
        <v>01</v>
      </c>
    </row>
    <row r="439" spans="2:2" x14ac:dyDescent="0.25">
      <c r="B439" t="str">
        <f t="shared" si="6"/>
        <v>01</v>
      </c>
    </row>
    <row r="440" spans="2:2" x14ac:dyDescent="0.25">
      <c r="B440" t="str">
        <f t="shared" si="6"/>
        <v>01</v>
      </c>
    </row>
    <row r="441" spans="2:2" x14ac:dyDescent="0.25">
      <c r="B441" t="str">
        <f t="shared" si="6"/>
        <v>01</v>
      </c>
    </row>
    <row r="442" spans="2:2" x14ac:dyDescent="0.25">
      <c r="B442" t="str">
        <f t="shared" si="6"/>
        <v>01</v>
      </c>
    </row>
    <row r="443" spans="2:2" x14ac:dyDescent="0.25">
      <c r="B443" t="str">
        <f t="shared" si="6"/>
        <v>01</v>
      </c>
    </row>
    <row r="444" spans="2:2" x14ac:dyDescent="0.25">
      <c r="B444" t="str">
        <f t="shared" si="6"/>
        <v>01</v>
      </c>
    </row>
    <row r="445" spans="2:2" x14ac:dyDescent="0.25">
      <c r="B445" t="str">
        <f t="shared" si="6"/>
        <v>01</v>
      </c>
    </row>
    <row r="446" spans="2:2" x14ac:dyDescent="0.25">
      <c r="B446" t="str">
        <f t="shared" si="6"/>
        <v>01</v>
      </c>
    </row>
    <row r="447" spans="2:2" x14ac:dyDescent="0.25">
      <c r="B447" t="str">
        <f t="shared" si="6"/>
        <v>01</v>
      </c>
    </row>
    <row r="448" spans="2:2" x14ac:dyDescent="0.25">
      <c r="B448" t="str">
        <f t="shared" si="6"/>
        <v>01</v>
      </c>
    </row>
    <row r="449" spans="2:2" x14ac:dyDescent="0.25">
      <c r="B449" t="str">
        <f t="shared" si="6"/>
        <v>01</v>
      </c>
    </row>
    <row r="450" spans="2:2" x14ac:dyDescent="0.25">
      <c r="B450" t="str">
        <f t="shared" si="6"/>
        <v>01</v>
      </c>
    </row>
    <row r="451" spans="2:2" x14ac:dyDescent="0.25">
      <c r="B451" t="str">
        <f t="shared" si="6"/>
        <v>01</v>
      </c>
    </row>
    <row r="452" spans="2:2" x14ac:dyDescent="0.25">
      <c r="B452" t="str">
        <f t="shared" si="6"/>
        <v>01</v>
      </c>
    </row>
    <row r="453" spans="2:2" x14ac:dyDescent="0.25">
      <c r="B453" t="str">
        <f t="shared" si="6"/>
        <v>01</v>
      </c>
    </row>
    <row r="454" spans="2:2" x14ac:dyDescent="0.25">
      <c r="B454" t="str">
        <f t="shared" ref="B454:B517" si="7">TEXT(C454,"MM")</f>
        <v>01</v>
      </c>
    </row>
    <row r="455" spans="2:2" x14ac:dyDescent="0.25">
      <c r="B455" t="str">
        <f t="shared" si="7"/>
        <v>01</v>
      </c>
    </row>
    <row r="456" spans="2:2" x14ac:dyDescent="0.25">
      <c r="B456" t="str">
        <f t="shared" si="7"/>
        <v>01</v>
      </c>
    </row>
    <row r="457" spans="2:2" x14ac:dyDescent="0.25">
      <c r="B457" t="str">
        <f t="shared" si="7"/>
        <v>01</v>
      </c>
    </row>
    <row r="458" spans="2:2" x14ac:dyDescent="0.25">
      <c r="B458" t="str">
        <f t="shared" si="7"/>
        <v>01</v>
      </c>
    </row>
    <row r="459" spans="2:2" x14ac:dyDescent="0.25">
      <c r="B459" t="str">
        <f t="shared" si="7"/>
        <v>01</v>
      </c>
    </row>
    <row r="460" spans="2:2" x14ac:dyDescent="0.25">
      <c r="B460" t="str">
        <f t="shared" si="7"/>
        <v>01</v>
      </c>
    </row>
    <row r="461" spans="2:2" x14ac:dyDescent="0.25">
      <c r="B461" t="str">
        <f t="shared" si="7"/>
        <v>01</v>
      </c>
    </row>
    <row r="462" spans="2:2" x14ac:dyDescent="0.25">
      <c r="B462" t="str">
        <f t="shared" si="7"/>
        <v>01</v>
      </c>
    </row>
    <row r="463" spans="2:2" x14ac:dyDescent="0.25">
      <c r="B463" t="str">
        <f t="shared" si="7"/>
        <v>01</v>
      </c>
    </row>
    <row r="464" spans="2:2" x14ac:dyDescent="0.25">
      <c r="B464" t="str">
        <f t="shared" si="7"/>
        <v>01</v>
      </c>
    </row>
    <row r="465" spans="2:2" x14ac:dyDescent="0.25">
      <c r="B465" t="str">
        <f t="shared" si="7"/>
        <v>01</v>
      </c>
    </row>
    <row r="466" spans="2:2" x14ac:dyDescent="0.25">
      <c r="B466" t="str">
        <f t="shared" si="7"/>
        <v>01</v>
      </c>
    </row>
    <row r="467" spans="2:2" x14ac:dyDescent="0.25">
      <c r="B467" t="str">
        <f t="shared" si="7"/>
        <v>01</v>
      </c>
    </row>
    <row r="468" spans="2:2" x14ac:dyDescent="0.25">
      <c r="B468" t="str">
        <f t="shared" si="7"/>
        <v>01</v>
      </c>
    </row>
    <row r="469" spans="2:2" x14ac:dyDescent="0.25">
      <c r="B469" t="str">
        <f t="shared" si="7"/>
        <v>01</v>
      </c>
    </row>
    <row r="470" spans="2:2" x14ac:dyDescent="0.25">
      <c r="B470" t="str">
        <f t="shared" si="7"/>
        <v>01</v>
      </c>
    </row>
    <row r="471" spans="2:2" x14ac:dyDescent="0.25">
      <c r="B471" t="str">
        <f t="shared" si="7"/>
        <v>01</v>
      </c>
    </row>
    <row r="472" spans="2:2" x14ac:dyDescent="0.25">
      <c r="B472" t="str">
        <f t="shared" si="7"/>
        <v>01</v>
      </c>
    </row>
    <row r="473" spans="2:2" x14ac:dyDescent="0.25">
      <c r="B473" t="str">
        <f t="shared" si="7"/>
        <v>01</v>
      </c>
    </row>
    <row r="474" spans="2:2" x14ac:dyDescent="0.25">
      <c r="B474" t="str">
        <f t="shared" si="7"/>
        <v>01</v>
      </c>
    </row>
    <row r="475" spans="2:2" x14ac:dyDescent="0.25">
      <c r="B475" t="str">
        <f t="shared" si="7"/>
        <v>01</v>
      </c>
    </row>
    <row r="476" spans="2:2" x14ac:dyDescent="0.25">
      <c r="B476" t="str">
        <f t="shared" si="7"/>
        <v>01</v>
      </c>
    </row>
    <row r="477" spans="2:2" x14ac:dyDescent="0.25">
      <c r="B477" t="str">
        <f t="shared" si="7"/>
        <v>01</v>
      </c>
    </row>
    <row r="478" spans="2:2" x14ac:dyDescent="0.25">
      <c r="B478" t="str">
        <f t="shared" si="7"/>
        <v>01</v>
      </c>
    </row>
    <row r="479" spans="2:2" x14ac:dyDescent="0.25">
      <c r="B479" t="str">
        <f t="shared" si="7"/>
        <v>01</v>
      </c>
    </row>
    <row r="480" spans="2:2" x14ac:dyDescent="0.25">
      <c r="B480" t="str">
        <f t="shared" si="7"/>
        <v>01</v>
      </c>
    </row>
    <row r="481" spans="2:2" x14ac:dyDescent="0.25">
      <c r="B481" t="str">
        <f t="shared" si="7"/>
        <v>01</v>
      </c>
    </row>
    <row r="482" spans="2:2" x14ac:dyDescent="0.25">
      <c r="B482" t="str">
        <f t="shared" si="7"/>
        <v>01</v>
      </c>
    </row>
    <row r="483" spans="2:2" x14ac:dyDescent="0.25">
      <c r="B483" t="str">
        <f t="shared" si="7"/>
        <v>01</v>
      </c>
    </row>
    <row r="484" spans="2:2" x14ac:dyDescent="0.25">
      <c r="B484" t="str">
        <f t="shared" si="7"/>
        <v>01</v>
      </c>
    </row>
    <row r="485" spans="2:2" x14ac:dyDescent="0.25">
      <c r="B485" t="str">
        <f t="shared" si="7"/>
        <v>01</v>
      </c>
    </row>
    <row r="486" spans="2:2" x14ac:dyDescent="0.25">
      <c r="B486" t="str">
        <f t="shared" si="7"/>
        <v>01</v>
      </c>
    </row>
    <row r="487" spans="2:2" x14ac:dyDescent="0.25">
      <c r="B487" t="str">
        <f t="shared" si="7"/>
        <v>01</v>
      </c>
    </row>
    <row r="488" spans="2:2" x14ac:dyDescent="0.25">
      <c r="B488" t="str">
        <f t="shared" si="7"/>
        <v>01</v>
      </c>
    </row>
    <row r="489" spans="2:2" x14ac:dyDescent="0.25">
      <c r="B489" t="str">
        <f t="shared" si="7"/>
        <v>01</v>
      </c>
    </row>
    <row r="490" spans="2:2" x14ac:dyDescent="0.25">
      <c r="B490" t="str">
        <f t="shared" si="7"/>
        <v>01</v>
      </c>
    </row>
    <row r="491" spans="2:2" x14ac:dyDescent="0.25">
      <c r="B491" t="str">
        <f t="shared" si="7"/>
        <v>01</v>
      </c>
    </row>
    <row r="492" spans="2:2" x14ac:dyDescent="0.25">
      <c r="B492" t="str">
        <f t="shared" si="7"/>
        <v>01</v>
      </c>
    </row>
    <row r="493" spans="2:2" x14ac:dyDescent="0.25">
      <c r="B493" t="str">
        <f t="shared" si="7"/>
        <v>01</v>
      </c>
    </row>
    <row r="494" spans="2:2" x14ac:dyDescent="0.25">
      <c r="B494" t="str">
        <f t="shared" si="7"/>
        <v>01</v>
      </c>
    </row>
    <row r="495" spans="2:2" x14ac:dyDescent="0.25">
      <c r="B495" t="str">
        <f t="shared" si="7"/>
        <v>01</v>
      </c>
    </row>
    <row r="496" spans="2:2" x14ac:dyDescent="0.25">
      <c r="B496" t="str">
        <f t="shared" si="7"/>
        <v>01</v>
      </c>
    </row>
    <row r="497" spans="2:2" x14ac:dyDescent="0.25">
      <c r="B497" t="str">
        <f t="shared" si="7"/>
        <v>01</v>
      </c>
    </row>
    <row r="498" spans="2:2" x14ac:dyDescent="0.25">
      <c r="B498" t="str">
        <f t="shared" si="7"/>
        <v>01</v>
      </c>
    </row>
    <row r="499" spans="2:2" x14ac:dyDescent="0.25">
      <c r="B499" t="str">
        <f t="shared" si="7"/>
        <v>01</v>
      </c>
    </row>
    <row r="500" spans="2:2" x14ac:dyDescent="0.25">
      <c r="B500" t="str">
        <f t="shared" si="7"/>
        <v>01</v>
      </c>
    </row>
    <row r="501" spans="2:2" x14ac:dyDescent="0.25">
      <c r="B501" t="str">
        <f t="shared" si="7"/>
        <v>01</v>
      </c>
    </row>
    <row r="502" spans="2:2" x14ac:dyDescent="0.25">
      <c r="B502" t="str">
        <f t="shared" si="7"/>
        <v>01</v>
      </c>
    </row>
    <row r="503" spans="2:2" x14ac:dyDescent="0.25">
      <c r="B503" t="str">
        <f t="shared" si="7"/>
        <v>01</v>
      </c>
    </row>
    <row r="504" spans="2:2" x14ac:dyDescent="0.25">
      <c r="B504" t="str">
        <f t="shared" si="7"/>
        <v>01</v>
      </c>
    </row>
    <row r="505" spans="2:2" x14ac:dyDescent="0.25">
      <c r="B505" t="str">
        <f t="shared" si="7"/>
        <v>01</v>
      </c>
    </row>
    <row r="506" spans="2:2" x14ac:dyDescent="0.25">
      <c r="B506" t="str">
        <f t="shared" si="7"/>
        <v>01</v>
      </c>
    </row>
    <row r="507" spans="2:2" x14ac:dyDescent="0.25">
      <c r="B507" t="str">
        <f t="shared" si="7"/>
        <v>01</v>
      </c>
    </row>
    <row r="508" spans="2:2" x14ac:dyDescent="0.25">
      <c r="B508" t="str">
        <f t="shared" si="7"/>
        <v>01</v>
      </c>
    </row>
    <row r="509" spans="2:2" x14ac:dyDescent="0.25">
      <c r="B509" t="str">
        <f t="shared" si="7"/>
        <v>01</v>
      </c>
    </row>
    <row r="510" spans="2:2" x14ac:dyDescent="0.25">
      <c r="B510" t="str">
        <f t="shared" si="7"/>
        <v>01</v>
      </c>
    </row>
    <row r="511" spans="2:2" x14ac:dyDescent="0.25">
      <c r="B511" t="str">
        <f t="shared" si="7"/>
        <v>01</v>
      </c>
    </row>
    <row r="512" spans="2:2" x14ac:dyDescent="0.25">
      <c r="B512" t="str">
        <f t="shared" si="7"/>
        <v>01</v>
      </c>
    </row>
    <row r="513" spans="2:2" x14ac:dyDescent="0.25">
      <c r="B513" t="str">
        <f t="shared" si="7"/>
        <v>01</v>
      </c>
    </row>
    <row r="514" spans="2:2" x14ac:dyDescent="0.25">
      <c r="B514" t="str">
        <f t="shared" si="7"/>
        <v>01</v>
      </c>
    </row>
    <row r="515" spans="2:2" x14ac:dyDescent="0.25">
      <c r="B515" t="str">
        <f t="shared" si="7"/>
        <v>01</v>
      </c>
    </row>
    <row r="516" spans="2:2" x14ac:dyDescent="0.25">
      <c r="B516" t="str">
        <f t="shared" si="7"/>
        <v>01</v>
      </c>
    </row>
    <row r="517" spans="2:2" x14ac:dyDescent="0.25">
      <c r="B517" t="str">
        <f t="shared" si="7"/>
        <v>01</v>
      </c>
    </row>
    <row r="518" spans="2:2" x14ac:dyDescent="0.25">
      <c r="B518" t="str">
        <f t="shared" ref="B518:B581" si="8">TEXT(C518,"MM")</f>
        <v>01</v>
      </c>
    </row>
    <row r="519" spans="2:2" x14ac:dyDescent="0.25">
      <c r="B519" t="str">
        <f t="shared" si="8"/>
        <v>01</v>
      </c>
    </row>
    <row r="520" spans="2:2" x14ac:dyDescent="0.25">
      <c r="B520" t="str">
        <f t="shared" si="8"/>
        <v>01</v>
      </c>
    </row>
    <row r="521" spans="2:2" x14ac:dyDescent="0.25">
      <c r="B521" t="str">
        <f t="shared" si="8"/>
        <v>01</v>
      </c>
    </row>
    <row r="522" spans="2:2" x14ac:dyDescent="0.25">
      <c r="B522" t="str">
        <f t="shared" si="8"/>
        <v>01</v>
      </c>
    </row>
    <row r="523" spans="2:2" x14ac:dyDescent="0.25">
      <c r="B523" t="str">
        <f t="shared" si="8"/>
        <v>01</v>
      </c>
    </row>
    <row r="524" spans="2:2" x14ac:dyDescent="0.25">
      <c r="B524" t="str">
        <f t="shared" si="8"/>
        <v>01</v>
      </c>
    </row>
    <row r="525" spans="2:2" x14ac:dyDescent="0.25">
      <c r="B525" t="str">
        <f t="shared" si="8"/>
        <v>01</v>
      </c>
    </row>
    <row r="526" spans="2:2" x14ac:dyDescent="0.25">
      <c r="B526" t="str">
        <f t="shared" si="8"/>
        <v>01</v>
      </c>
    </row>
    <row r="527" spans="2:2" x14ac:dyDescent="0.25">
      <c r="B527" t="str">
        <f t="shared" si="8"/>
        <v>01</v>
      </c>
    </row>
    <row r="528" spans="2:2" x14ac:dyDescent="0.25">
      <c r="B528" t="str">
        <f t="shared" si="8"/>
        <v>01</v>
      </c>
    </row>
    <row r="529" spans="2:2" x14ac:dyDescent="0.25">
      <c r="B529" t="str">
        <f t="shared" si="8"/>
        <v>01</v>
      </c>
    </row>
    <row r="530" spans="2:2" x14ac:dyDescent="0.25">
      <c r="B530" t="str">
        <f t="shared" si="8"/>
        <v>01</v>
      </c>
    </row>
    <row r="531" spans="2:2" x14ac:dyDescent="0.25">
      <c r="B531" t="str">
        <f t="shared" si="8"/>
        <v>01</v>
      </c>
    </row>
    <row r="532" spans="2:2" x14ac:dyDescent="0.25">
      <c r="B532" t="str">
        <f t="shared" si="8"/>
        <v>01</v>
      </c>
    </row>
    <row r="533" spans="2:2" x14ac:dyDescent="0.25">
      <c r="B533" t="str">
        <f t="shared" si="8"/>
        <v>01</v>
      </c>
    </row>
    <row r="534" spans="2:2" x14ac:dyDescent="0.25">
      <c r="B534" t="str">
        <f t="shared" si="8"/>
        <v>01</v>
      </c>
    </row>
    <row r="535" spans="2:2" x14ac:dyDescent="0.25">
      <c r="B535" t="str">
        <f t="shared" si="8"/>
        <v>01</v>
      </c>
    </row>
    <row r="536" spans="2:2" x14ac:dyDescent="0.25">
      <c r="B536" t="str">
        <f t="shared" si="8"/>
        <v>01</v>
      </c>
    </row>
    <row r="537" spans="2:2" x14ac:dyDescent="0.25">
      <c r="B537" t="str">
        <f t="shared" si="8"/>
        <v>01</v>
      </c>
    </row>
    <row r="538" spans="2:2" x14ac:dyDescent="0.25">
      <c r="B538" t="str">
        <f t="shared" si="8"/>
        <v>01</v>
      </c>
    </row>
    <row r="539" spans="2:2" x14ac:dyDescent="0.25">
      <c r="B539" t="str">
        <f t="shared" si="8"/>
        <v>01</v>
      </c>
    </row>
    <row r="540" spans="2:2" x14ac:dyDescent="0.25">
      <c r="B540" t="str">
        <f t="shared" si="8"/>
        <v>01</v>
      </c>
    </row>
    <row r="541" spans="2:2" x14ac:dyDescent="0.25">
      <c r="B541" t="str">
        <f t="shared" si="8"/>
        <v>01</v>
      </c>
    </row>
    <row r="542" spans="2:2" x14ac:dyDescent="0.25">
      <c r="B542" t="str">
        <f t="shared" si="8"/>
        <v>01</v>
      </c>
    </row>
    <row r="543" spans="2:2" x14ac:dyDescent="0.25">
      <c r="B543" t="str">
        <f t="shared" si="8"/>
        <v>01</v>
      </c>
    </row>
    <row r="544" spans="2:2" x14ac:dyDescent="0.25">
      <c r="B544" t="str">
        <f t="shared" si="8"/>
        <v>01</v>
      </c>
    </row>
    <row r="545" spans="2:2" x14ac:dyDescent="0.25">
      <c r="B545" t="str">
        <f t="shared" si="8"/>
        <v>01</v>
      </c>
    </row>
    <row r="546" spans="2:2" x14ac:dyDescent="0.25">
      <c r="B546" t="str">
        <f t="shared" si="8"/>
        <v>01</v>
      </c>
    </row>
    <row r="547" spans="2:2" x14ac:dyDescent="0.25">
      <c r="B547" t="str">
        <f t="shared" si="8"/>
        <v>01</v>
      </c>
    </row>
    <row r="548" spans="2:2" x14ac:dyDescent="0.25">
      <c r="B548" t="str">
        <f t="shared" si="8"/>
        <v>01</v>
      </c>
    </row>
    <row r="549" spans="2:2" x14ac:dyDescent="0.25">
      <c r="B549" t="str">
        <f t="shared" si="8"/>
        <v>01</v>
      </c>
    </row>
    <row r="550" spans="2:2" x14ac:dyDescent="0.25">
      <c r="B550" t="str">
        <f t="shared" si="8"/>
        <v>01</v>
      </c>
    </row>
    <row r="551" spans="2:2" x14ac:dyDescent="0.25">
      <c r="B551" t="str">
        <f t="shared" si="8"/>
        <v>01</v>
      </c>
    </row>
    <row r="552" spans="2:2" x14ac:dyDescent="0.25">
      <c r="B552" t="str">
        <f t="shared" si="8"/>
        <v>01</v>
      </c>
    </row>
    <row r="553" spans="2:2" x14ac:dyDescent="0.25">
      <c r="B553" t="str">
        <f t="shared" si="8"/>
        <v>01</v>
      </c>
    </row>
    <row r="554" spans="2:2" x14ac:dyDescent="0.25">
      <c r="B554" t="str">
        <f t="shared" si="8"/>
        <v>01</v>
      </c>
    </row>
    <row r="555" spans="2:2" x14ac:dyDescent="0.25">
      <c r="B555" t="str">
        <f t="shared" si="8"/>
        <v>01</v>
      </c>
    </row>
    <row r="556" spans="2:2" x14ac:dyDescent="0.25">
      <c r="B556" t="str">
        <f t="shared" si="8"/>
        <v>01</v>
      </c>
    </row>
    <row r="557" spans="2:2" x14ac:dyDescent="0.25">
      <c r="B557" t="str">
        <f t="shared" si="8"/>
        <v>01</v>
      </c>
    </row>
    <row r="558" spans="2:2" x14ac:dyDescent="0.25">
      <c r="B558" t="str">
        <f t="shared" si="8"/>
        <v>01</v>
      </c>
    </row>
    <row r="559" spans="2:2" x14ac:dyDescent="0.25">
      <c r="B559" t="str">
        <f t="shared" si="8"/>
        <v>01</v>
      </c>
    </row>
    <row r="560" spans="2:2" x14ac:dyDescent="0.25">
      <c r="B560" t="str">
        <f t="shared" si="8"/>
        <v>01</v>
      </c>
    </row>
    <row r="561" spans="2:2" x14ac:dyDescent="0.25">
      <c r="B561" t="str">
        <f t="shared" si="8"/>
        <v>01</v>
      </c>
    </row>
    <row r="562" spans="2:2" x14ac:dyDescent="0.25">
      <c r="B562" t="str">
        <f t="shared" si="8"/>
        <v>01</v>
      </c>
    </row>
    <row r="563" spans="2:2" x14ac:dyDescent="0.25">
      <c r="B563" t="str">
        <f t="shared" si="8"/>
        <v>01</v>
      </c>
    </row>
    <row r="564" spans="2:2" x14ac:dyDescent="0.25">
      <c r="B564" t="str">
        <f t="shared" si="8"/>
        <v>01</v>
      </c>
    </row>
    <row r="565" spans="2:2" x14ac:dyDescent="0.25">
      <c r="B565" t="str">
        <f t="shared" si="8"/>
        <v>01</v>
      </c>
    </row>
    <row r="566" spans="2:2" x14ac:dyDescent="0.25">
      <c r="B566" t="str">
        <f t="shared" si="8"/>
        <v>01</v>
      </c>
    </row>
    <row r="567" spans="2:2" x14ac:dyDescent="0.25">
      <c r="B567" t="str">
        <f t="shared" si="8"/>
        <v>01</v>
      </c>
    </row>
    <row r="568" spans="2:2" x14ac:dyDescent="0.25">
      <c r="B568" t="str">
        <f t="shared" si="8"/>
        <v>01</v>
      </c>
    </row>
    <row r="569" spans="2:2" x14ac:dyDescent="0.25">
      <c r="B569" t="str">
        <f t="shared" si="8"/>
        <v>01</v>
      </c>
    </row>
    <row r="570" spans="2:2" x14ac:dyDescent="0.25">
      <c r="B570" t="str">
        <f t="shared" si="8"/>
        <v>01</v>
      </c>
    </row>
    <row r="571" spans="2:2" x14ac:dyDescent="0.25">
      <c r="B571" t="str">
        <f t="shared" si="8"/>
        <v>01</v>
      </c>
    </row>
    <row r="572" spans="2:2" x14ac:dyDescent="0.25">
      <c r="B572" t="str">
        <f t="shared" si="8"/>
        <v>01</v>
      </c>
    </row>
    <row r="573" spans="2:2" x14ac:dyDescent="0.25">
      <c r="B573" t="str">
        <f t="shared" si="8"/>
        <v>01</v>
      </c>
    </row>
    <row r="574" spans="2:2" x14ac:dyDescent="0.25">
      <c r="B574" t="str">
        <f t="shared" si="8"/>
        <v>01</v>
      </c>
    </row>
    <row r="575" spans="2:2" x14ac:dyDescent="0.25">
      <c r="B575" t="str">
        <f t="shared" si="8"/>
        <v>01</v>
      </c>
    </row>
    <row r="576" spans="2:2" x14ac:dyDescent="0.25">
      <c r="B576" t="str">
        <f t="shared" si="8"/>
        <v>01</v>
      </c>
    </row>
    <row r="577" spans="2:2" x14ac:dyDescent="0.25">
      <c r="B577" t="str">
        <f t="shared" si="8"/>
        <v>01</v>
      </c>
    </row>
    <row r="578" spans="2:2" x14ac:dyDescent="0.25">
      <c r="B578" t="str">
        <f t="shared" si="8"/>
        <v>01</v>
      </c>
    </row>
    <row r="579" spans="2:2" x14ac:dyDescent="0.25">
      <c r="B579" t="str">
        <f t="shared" si="8"/>
        <v>01</v>
      </c>
    </row>
    <row r="580" spans="2:2" x14ac:dyDescent="0.25">
      <c r="B580" t="str">
        <f t="shared" si="8"/>
        <v>01</v>
      </c>
    </row>
    <row r="581" spans="2:2" x14ac:dyDescent="0.25">
      <c r="B581" t="str">
        <f t="shared" si="8"/>
        <v>01</v>
      </c>
    </row>
    <row r="582" spans="2:2" x14ac:dyDescent="0.25">
      <c r="B582" t="str">
        <f t="shared" ref="B582:B645" si="9">TEXT(C582,"MM")</f>
        <v>01</v>
      </c>
    </row>
    <row r="583" spans="2:2" x14ac:dyDescent="0.25">
      <c r="B583" t="str">
        <f t="shared" si="9"/>
        <v>01</v>
      </c>
    </row>
    <row r="584" spans="2:2" x14ac:dyDescent="0.25">
      <c r="B584" t="str">
        <f t="shared" si="9"/>
        <v>01</v>
      </c>
    </row>
    <row r="585" spans="2:2" x14ac:dyDescent="0.25">
      <c r="B585" t="str">
        <f t="shared" si="9"/>
        <v>01</v>
      </c>
    </row>
    <row r="586" spans="2:2" x14ac:dyDescent="0.25">
      <c r="B586" t="str">
        <f t="shared" si="9"/>
        <v>01</v>
      </c>
    </row>
    <row r="587" spans="2:2" x14ac:dyDescent="0.25">
      <c r="B587" t="str">
        <f t="shared" si="9"/>
        <v>01</v>
      </c>
    </row>
    <row r="588" spans="2:2" x14ac:dyDescent="0.25">
      <c r="B588" t="str">
        <f t="shared" si="9"/>
        <v>01</v>
      </c>
    </row>
    <row r="589" spans="2:2" x14ac:dyDescent="0.25">
      <c r="B589" t="str">
        <f t="shared" si="9"/>
        <v>01</v>
      </c>
    </row>
    <row r="590" spans="2:2" x14ac:dyDescent="0.25">
      <c r="B590" t="str">
        <f t="shared" si="9"/>
        <v>01</v>
      </c>
    </row>
    <row r="591" spans="2:2" x14ac:dyDescent="0.25">
      <c r="B591" t="str">
        <f t="shared" si="9"/>
        <v>01</v>
      </c>
    </row>
    <row r="592" spans="2:2" x14ac:dyDescent="0.25">
      <c r="B592" t="str">
        <f t="shared" si="9"/>
        <v>01</v>
      </c>
    </row>
    <row r="593" spans="2:2" x14ac:dyDescent="0.25">
      <c r="B593" t="str">
        <f t="shared" si="9"/>
        <v>01</v>
      </c>
    </row>
    <row r="594" spans="2:2" x14ac:dyDescent="0.25">
      <c r="B594" t="str">
        <f t="shared" si="9"/>
        <v>01</v>
      </c>
    </row>
    <row r="595" spans="2:2" x14ac:dyDescent="0.25">
      <c r="B595" t="str">
        <f t="shared" si="9"/>
        <v>01</v>
      </c>
    </row>
    <row r="596" spans="2:2" x14ac:dyDescent="0.25">
      <c r="B596" t="str">
        <f t="shared" si="9"/>
        <v>01</v>
      </c>
    </row>
    <row r="597" spans="2:2" x14ac:dyDescent="0.25">
      <c r="B597" t="str">
        <f t="shared" si="9"/>
        <v>01</v>
      </c>
    </row>
    <row r="598" spans="2:2" x14ac:dyDescent="0.25">
      <c r="B598" t="str">
        <f t="shared" si="9"/>
        <v>01</v>
      </c>
    </row>
    <row r="599" spans="2:2" x14ac:dyDescent="0.25">
      <c r="B599" t="str">
        <f t="shared" si="9"/>
        <v>01</v>
      </c>
    </row>
    <row r="600" spans="2:2" x14ac:dyDescent="0.25">
      <c r="B600" t="str">
        <f t="shared" si="9"/>
        <v>01</v>
      </c>
    </row>
    <row r="601" spans="2:2" x14ac:dyDescent="0.25">
      <c r="B601" t="str">
        <f t="shared" si="9"/>
        <v>01</v>
      </c>
    </row>
    <row r="602" spans="2:2" x14ac:dyDescent="0.25">
      <c r="B602" t="str">
        <f t="shared" si="9"/>
        <v>01</v>
      </c>
    </row>
    <row r="603" spans="2:2" x14ac:dyDescent="0.25">
      <c r="B603" t="str">
        <f t="shared" si="9"/>
        <v>01</v>
      </c>
    </row>
    <row r="604" spans="2:2" x14ac:dyDescent="0.25">
      <c r="B604" t="str">
        <f t="shared" si="9"/>
        <v>01</v>
      </c>
    </row>
    <row r="605" spans="2:2" x14ac:dyDescent="0.25">
      <c r="B605" t="str">
        <f t="shared" si="9"/>
        <v>01</v>
      </c>
    </row>
    <row r="606" spans="2:2" x14ac:dyDescent="0.25">
      <c r="B606" t="str">
        <f t="shared" si="9"/>
        <v>01</v>
      </c>
    </row>
    <row r="607" spans="2:2" x14ac:dyDescent="0.25">
      <c r="B607" t="str">
        <f t="shared" si="9"/>
        <v>01</v>
      </c>
    </row>
    <row r="608" spans="2:2" x14ac:dyDescent="0.25">
      <c r="B608" t="str">
        <f t="shared" si="9"/>
        <v>01</v>
      </c>
    </row>
    <row r="609" spans="2:2" x14ac:dyDescent="0.25">
      <c r="B609" t="str">
        <f t="shared" si="9"/>
        <v>01</v>
      </c>
    </row>
    <row r="610" spans="2:2" x14ac:dyDescent="0.25">
      <c r="B610" t="str">
        <f t="shared" si="9"/>
        <v>01</v>
      </c>
    </row>
    <row r="611" spans="2:2" x14ac:dyDescent="0.25">
      <c r="B611" t="str">
        <f t="shared" si="9"/>
        <v>01</v>
      </c>
    </row>
    <row r="612" spans="2:2" x14ac:dyDescent="0.25">
      <c r="B612" t="str">
        <f t="shared" si="9"/>
        <v>01</v>
      </c>
    </row>
    <row r="613" spans="2:2" x14ac:dyDescent="0.25">
      <c r="B613" t="str">
        <f t="shared" si="9"/>
        <v>01</v>
      </c>
    </row>
    <row r="614" spans="2:2" x14ac:dyDescent="0.25">
      <c r="B614" t="str">
        <f t="shared" si="9"/>
        <v>01</v>
      </c>
    </row>
    <row r="615" spans="2:2" x14ac:dyDescent="0.25">
      <c r="B615" t="str">
        <f t="shared" si="9"/>
        <v>01</v>
      </c>
    </row>
    <row r="616" spans="2:2" x14ac:dyDescent="0.25">
      <c r="B616" t="str">
        <f t="shared" si="9"/>
        <v>01</v>
      </c>
    </row>
    <row r="617" spans="2:2" x14ac:dyDescent="0.25">
      <c r="B617" t="str">
        <f t="shared" si="9"/>
        <v>01</v>
      </c>
    </row>
    <row r="618" spans="2:2" x14ac:dyDescent="0.25">
      <c r="B618" t="str">
        <f t="shared" si="9"/>
        <v>01</v>
      </c>
    </row>
    <row r="619" spans="2:2" x14ac:dyDescent="0.25">
      <c r="B619" t="str">
        <f t="shared" si="9"/>
        <v>01</v>
      </c>
    </row>
    <row r="620" spans="2:2" x14ac:dyDescent="0.25">
      <c r="B620" t="str">
        <f t="shared" si="9"/>
        <v>01</v>
      </c>
    </row>
    <row r="621" spans="2:2" x14ac:dyDescent="0.25">
      <c r="B621" t="str">
        <f t="shared" si="9"/>
        <v>01</v>
      </c>
    </row>
    <row r="622" spans="2:2" x14ac:dyDescent="0.25">
      <c r="B622" t="str">
        <f t="shared" si="9"/>
        <v>01</v>
      </c>
    </row>
    <row r="623" spans="2:2" x14ac:dyDescent="0.25">
      <c r="B623" t="str">
        <f t="shared" si="9"/>
        <v>01</v>
      </c>
    </row>
    <row r="624" spans="2:2" x14ac:dyDescent="0.25">
      <c r="B624" t="str">
        <f t="shared" si="9"/>
        <v>01</v>
      </c>
    </row>
    <row r="625" spans="2:2" x14ac:dyDescent="0.25">
      <c r="B625" t="str">
        <f t="shared" si="9"/>
        <v>01</v>
      </c>
    </row>
    <row r="626" spans="2:2" x14ac:dyDescent="0.25">
      <c r="B626" t="str">
        <f t="shared" si="9"/>
        <v>01</v>
      </c>
    </row>
    <row r="627" spans="2:2" x14ac:dyDescent="0.25">
      <c r="B627" t="str">
        <f t="shared" si="9"/>
        <v>01</v>
      </c>
    </row>
    <row r="628" spans="2:2" x14ac:dyDescent="0.25">
      <c r="B628" t="str">
        <f t="shared" si="9"/>
        <v>01</v>
      </c>
    </row>
    <row r="629" spans="2:2" x14ac:dyDescent="0.25">
      <c r="B629" t="str">
        <f t="shared" si="9"/>
        <v>01</v>
      </c>
    </row>
    <row r="630" spans="2:2" x14ac:dyDescent="0.25">
      <c r="B630" t="str">
        <f t="shared" si="9"/>
        <v>01</v>
      </c>
    </row>
    <row r="631" spans="2:2" x14ac:dyDescent="0.25">
      <c r="B631" t="str">
        <f t="shared" si="9"/>
        <v>01</v>
      </c>
    </row>
    <row r="632" spans="2:2" x14ac:dyDescent="0.25">
      <c r="B632" t="str">
        <f t="shared" si="9"/>
        <v>01</v>
      </c>
    </row>
    <row r="633" spans="2:2" x14ac:dyDescent="0.25">
      <c r="B633" t="str">
        <f t="shared" si="9"/>
        <v>01</v>
      </c>
    </row>
    <row r="634" spans="2:2" x14ac:dyDescent="0.25">
      <c r="B634" t="str">
        <f t="shared" si="9"/>
        <v>01</v>
      </c>
    </row>
    <row r="635" spans="2:2" x14ac:dyDescent="0.25">
      <c r="B635" t="str">
        <f t="shared" si="9"/>
        <v>01</v>
      </c>
    </row>
    <row r="636" spans="2:2" x14ac:dyDescent="0.25">
      <c r="B636" t="str">
        <f t="shared" si="9"/>
        <v>01</v>
      </c>
    </row>
    <row r="637" spans="2:2" x14ac:dyDescent="0.25">
      <c r="B637" t="str">
        <f t="shared" si="9"/>
        <v>01</v>
      </c>
    </row>
    <row r="638" spans="2:2" x14ac:dyDescent="0.25">
      <c r="B638" t="str">
        <f t="shared" si="9"/>
        <v>01</v>
      </c>
    </row>
    <row r="639" spans="2:2" x14ac:dyDescent="0.25">
      <c r="B639" t="str">
        <f t="shared" si="9"/>
        <v>01</v>
      </c>
    </row>
    <row r="640" spans="2:2" x14ac:dyDescent="0.25">
      <c r="B640" t="str">
        <f t="shared" si="9"/>
        <v>01</v>
      </c>
    </row>
    <row r="641" spans="2:2" x14ac:dyDescent="0.25">
      <c r="B641" t="str">
        <f t="shared" si="9"/>
        <v>01</v>
      </c>
    </row>
    <row r="642" spans="2:2" x14ac:dyDescent="0.25">
      <c r="B642" t="str">
        <f t="shared" si="9"/>
        <v>01</v>
      </c>
    </row>
    <row r="643" spans="2:2" x14ac:dyDescent="0.25">
      <c r="B643" t="str">
        <f t="shared" si="9"/>
        <v>01</v>
      </c>
    </row>
    <row r="644" spans="2:2" x14ac:dyDescent="0.25">
      <c r="B644" t="str">
        <f t="shared" si="9"/>
        <v>01</v>
      </c>
    </row>
    <row r="645" spans="2:2" x14ac:dyDescent="0.25">
      <c r="B645" t="str">
        <f t="shared" si="9"/>
        <v>01</v>
      </c>
    </row>
    <row r="646" spans="2:2" x14ac:dyDescent="0.25">
      <c r="B646" t="str">
        <f t="shared" ref="B646:B709" si="10">TEXT(C646,"MM")</f>
        <v>01</v>
      </c>
    </row>
    <row r="647" spans="2:2" x14ac:dyDescent="0.25">
      <c r="B647" t="str">
        <f t="shared" si="10"/>
        <v>01</v>
      </c>
    </row>
    <row r="648" spans="2:2" x14ac:dyDescent="0.25">
      <c r="B648" t="str">
        <f t="shared" si="10"/>
        <v>01</v>
      </c>
    </row>
    <row r="649" spans="2:2" x14ac:dyDescent="0.25">
      <c r="B649" t="str">
        <f t="shared" si="10"/>
        <v>01</v>
      </c>
    </row>
    <row r="650" spans="2:2" x14ac:dyDescent="0.25">
      <c r="B650" t="str">
        <f t="shared" si="10"/>
        <v>01</v>
      </c>
    </row>
    <row r="651" spans="2:2" x14ac:dyDescent="0.25">
      <c r="B651" t="str">
        <f t="shared" si="10"/>
        <v>01</v>
      </c>
    </row>
    <row r="652" spans="2:2" x14ac:dyDescent="0.25">
      <c r="B652" t="str">
        <f t="shared" si="10"/>
        <v>01</v>
      </c>
    </row>
    <row r="653" spans="2:2" x14ac:dyDescent="0.25">
      <c r="B653" t="str">
        <f t="shared" si="10"/>
        <v>01</v>
      </c>
    </row>
    <row r="654" spans="2:2" x14ac:dyDescent="0.25">
      <c r="B654" t="str">
        <f t="shared" si="10"/>
        <v>01</v>
      </c>
    </row>
    <row r="655" spans="2:2" x14ac:dyDescent="0.25">
      <c r="B655" t="str">
        <f t="shared" si="10"/>
        <v>01</v>
      </c>
    </row>
    <row r="656" spans="2:2" x14ac:dyDescent="0.25">
      <c r="B656" t="str">
        <f t="shared" si="10"/>
        <v>01</v>
      </c>
    </row>
    <row r="657" spans="2:2" x14ac:dyDescent="0.25">
      <c r="B657" t="str">
        <f t="shared" si="10"/>
        <v>01</v>
      </c>
    </row>
    <row r="658" spans="2:2" x14ac:dyDescent="0.25">
      <c r="B658" t="str">
        <f t="shared" si="10"/>
        <v>01</v>
      </c>
    </row>
    <row r="659" spans="2:2" x14ac:dyDescent="0.25">
      <c r="B659" t="str">
        <f t="shared" si="10"/>
        <v>01</v>
      </c>
    </row>
    <row r="660" spans="2:2" x14ac:dyDescent="0.25">
      <c r="B660" t="str">
        <f t="shared" si="10"/>
        <v>01</v>
      </c>
    </row>
    <row r="661" spans="2:2" x14ac:dyDescent="0.25">
      <c r="B661" t="str">
        <f t="shared" si="10"/>
        <v>01</v>
      </c>
    </row>
    <row r="662" spans="2:2" x14ac:dyDescent="0.25">
      <c r="B662" t="str">
        <f t="shared" si="10"/>
        <v>01</v>
      </c>
    </row>
    <row r="663" spans="2:2" x14ac:dyDescent="0.25">
      <c r="B663" t="str">
        <f t="shared" si="10"/>
        <v>01</v>
      </c>
    </row>
    <row r="664" spans="2:2" x14ac:dyDescent="0.25">
      <c r="B664" t="str">
        <f t="shared" si="10"/>
        <v>01</v>
      </c>
    </row>
    <row r="665" spans="2:2" x14ac:dyDescent="0.25">
      <c r="B665" t="str">
        <f t="shared" si="10"/>
        <v>01</v>
      </c>
    </row>
    <row r="666" spans="2:2" x14ac:dyDescent="0.25">
      <c r="B666" t="str">
        <f t="shared" si="10"/>
        <v>01</v>
      </c>
    </row>
    <row r="667" spans="2:2" x14ac:dyDescent="0.25">
      <c r="B667" t="str">
        <f t="shared" si="10"/>
        <v>01</v>
      </c>
    </row>
    <row r="668" spans="2:2" x14ac:dyDescent="0.25">
      <c r="B668" t="str">
        <f t="shared" si="10"/>
        <v>01</v>
      </c>
    </row>
    <row r="669" spans="2:2" x14ac:dyDescent="0.25">
      <c r="B669" t="str">
        <f t="shared" si="10"/>
        <v>01</v>
      </c>
    </row>
    <row r="670" spans="2:2" x14ac:dyDescent="0.25">
      <c r="B670" t="str">
        <f t="shared" si="10"/>
        <v>01</v>
      </c>
    </row>
    <row r="671" spans="2:2" x14ac:dyDescent="0.25">
      <c r="B671" t="str">
        <f t="shared" si="10"/>
        <v>01</v>
      </c>
    </row>
    <row r="672" spans="2:2" x14ac:dyDescent="0.25">
      <c r="B672" t="str">
        <f t="shared" si="10"/>
        <v>01</v>
      </c>
    </row>
    <row r="673" spans="2:2" x14ac:dyDescent="0.25">
      <c r="B673" t="str">
        <f t="shared" si="10"/>
        <v>01</v>
      </c>
    </row>
    <row r="674" spans="2:2" x14ac:dyDescent="0.25">
      <c r="B674" t="str">
        <f t="shared" si="10"/>
        <v>01</v>
      </c>
    </row>
    <row r="675" spans="2:2" x14ac:dyDescent="0.25">
      <c r="B675" t="str">
        <f t="shared" si="10"/>
        <v>01</v>
      </c>
    </row>
    <row r="676" spans="2:2" x14ac:dyDescent="0.25">
      <c r="B676" t="str">
        <f t="shared" si="10"/>
        <v>01</v>
      </c>
    </row>
    <row r="677" spans="2:2" x14ac:dyDescent="0.25">
      <c r="B677" t="str">
        <f t="shared" si="10"/>
        <v>01</v>
      </c>
    </row>
    <row r="678" spans="2:2" x14ac:dyDescent="0.25">
      <c r="B678" t="str">
        <f t="shared" si="10"/>
        <v>01</v>
      </c>
    </row>
    <row r="679" spans="2:2" x14ac:dyDescent="0.25">
      <c r="B679" t="str">
        <f t="shared" si="10"/>
        <v>01</v>
      </c>
    </row>
    <row r="680" spans="2:2" x14ac:dyDescent="0.25">
      <c r="B680" t="str">
        <f t="shared" si="10"/>
        <v>01</v>
      </c>
    </row>
    <row r="681" spans="2:2" x14ac:dyDescent="0.25">
      <c r="B681" t="str">
        <f t="shared" si="10"/>
        <v>01</v>
      </c>
    </row>
    <row r="682" spans="2:2" x14ac:dyDescent="0.25">
      <c r="B682" t="str">
        <f t="shared" si="10"/>
        <v>01</v>
      </c>
    </row>
    <row r="683" spans="2:2" x14ac:dyDescent="0.25">
      <c r="B683" t="str">
        <f t="shared" si="10"/>
        <v>01</v>
      </c>
    </row>
    <row r="684" spans="2:2" x14ac:dyDescent="0.25">
      <c r="B684" t="str">
        <f t="shared" si="10"/>
        <v>01</v>
      </c>
    </row>
    <row r="685" spans="2:2" x14ac:dyDescent="0.25">
      <c r="B685" t="str">
        <f t="shared" si="10"/>
        <v>01</v>
      </c>
    </row>
    <row r="686" spans="2:2" x14ac:dyDescent="0.25">
      <c r="B686" t="str">
        <f t="shared" si="10"/>
        <v>01</v>
      </c>
    </row>
    <row r="687" spans="2:2" x14ac:dyDescent="0.25">
      <c r="B687" t="str">
        <f t="shared" si="10"/>
        <v>01</v>
      </c>
    </row>
    <row r="688" spans="2:2" x14ac:dyDescent="0.25">
      <c r="B688" t="str">
        <f t="shared" si="10"/>
        <v>01</v>
      </c>
    </row>
    <row r="689" spans="2:2" x14ac:dyDescent="0.25">
      <c r="B689" t="str">
        <f t="shared" si="10"/>
        <v>01</v>
      </c>
    </row>
    <row r="690" spans="2:2" x14ac:dyDescent="0.25">
      <c r="B690" t="str">
        <f t="shared" si="10"/>
        <v>01</v>
      </c>
    </row>
    <row r="691" spans="2:2" x14ac:dyDescent="0.25">
      <c r="B691" t="str">
        <f t="shared" si="10"/>
        <v>01</v>
      </c>
    </row>
    <row r="692" spans="2:2" x14ac:dyDescent="0.25">
      <c r="B692" t="str">
        <f t="shared" si="10"/>
        <v>01</v>
      </c>
    </row>
    <row r="693" spans="2:2" x14ac:dyDescent="0.25">
      <c r="B693" t="str">
        <f t="shared" si="10"/>
        <v>01</v>
      </c>
    </row>
    <row r="694" spans="2:2" x14ac:dyDescent="0.25">
      <c r="B694" t="str">
        <f t="shared" si="10"/>
        <v>01</v>
      </c>
    </row>
    <row r="695" spans="2:2" x14ac:dyDescent="0.25">
      <c r="B695" t="str">
        <f t="shared" si="10"/>
        <v>01</v>
      </c>
    </row>
    <row r="696" spans="2:2" x14ac:dyDescent="0.25">
      <c r="B696" t="str">
        <f t="shared" si="10"/>
        <v>01</v>
      </c>
    </row>
    <row r="697" spans="2:2" x14ac:dyDescent="0.25">
      <c r="B697" t="str">
        <f t="shared" si="10"/>
        <v>01</v>
      </c>
    </row>
    <row r="698" spans="2:2" x14ac:dyDescent="0.25">
      <c r="B698" t="str">
        <f t="shared" si="10"/>
        <v>01</v>
      </c>
    </row>
    <row r="699" spans="2:2" x14ac:dyDescent="0.25">
      <c r="B699" t="str">
        <f t="shared" si="10"/>
        <v>01</v>
      </c>
    </row>
    <row r="700" spans="2:2" x14ac:dyDescent="0.25">
      <c r="B700" t="str">
        <f t="shared" si="10"/>
        <v>01</v>
      </c>
    </row>
    <row r="701" spans="2:2" x14ac:dyDescent="0.25">
      <c r="B701" t="str">
        <f t="shared" si="10"/>
        <v>01</v>
      </c>
    </row>
    <row r="702" spans="2:2" x14ac:dyDescent="0.25">
      <c r="B702" t="str">
        <f t="shared" si="10"/>
        <v>01</v>
      </c>
    </row>
    <row r="703" spans="2:2" x14ac:dyDescent="0.25">
      <c r="B703" t="str">
        <f t="shared" si="10"/>
        <v>01</v>
      </c>
    </row>
    <row r="704" spans="2:2" x14ac:dyDescent="0.25">
      <c r="B704" t="str">
        <f t="shared" si="10"/>
        <v>01</v>
      </c>
    </row>
    <row r="705" spans="2:2" x14ac:dyDescent="0.25">
      <c r="B705" t="str">
        <f t="shared" si="10"/>
        <v>01</v>
      </c>
    </row>
    <row r="706" spans="2:2" x14ac:dyDescent="0.25">
      <c r="B706" t="str">
        <f t="shared" si="10"/>
        <v>01</v>
      </c>
    </row>
    <row r="707" spans="2:2" x14ac:dyDescent="0.25">
      <c r="B707" t="str">
        <f t="shared" si="10"/>
        <v>01</v>
      </c>
    </row>
    <row r="708" spans="2:2" x14ac:dyDescent="0.25">
      <c r="B708" t="str">
        <f t="shared" si="10"/>
        <v>01</v>
      </c>
    </row>
    <row r="709" spans="2:2" x14ac:dyDescent="0.25">
      <c r="B709" t="str">
        <f t="shared" si="10"/>
        <v>01</v>
      </c>
    </row>
    <row r="710" spans="2:2" x14ac:dyDescent="0.25">
      <c r="B710" t="str">
        <f t="shared" ref="B710:B773" si="11">TEXT(C710,"MM")</f>
        <v>01</v>
      </c>
    </row>
    <row r="711" spans="2:2" x14ac:dyDescent="0.25">
      <c r="B711" t="str">
        <f t="shared" si="11"/>
        <v>01</v>
      </c>
    </row>
    <row r="712" spans="2:2" x14ac:dyDescent="0.25">
      <c r="B712" t="str">
        <f t="shared" si="11"/>
        <v>01</v>
      </c>
    </row>
    <row r="713" spans="2:2" x14ac:dyDescent="0.25">
      <c r="B713" t="str">
        <f t="shared" si="11"/>
        <v>01</v>
      </c>
    </row>
    <row r="714" spans="2:2" x14ac:dyDescent="0.25">
      <c r="B714" t="str">
        <f t="shared" si="11"/>
        <v>01</v>
      </c>
    </row>
    <row r="715" spans="2:2" x14ac:dyDescent="0.25">
      <c r="B715" t="str">
        <f t="shared" si="11"/>
        <v>01</v>
      </c>
    </row>
    <row r="716" spans="2:2" x14ac:dyDescent="0.25">
      <c r="B716" t="str">
        <f t="shared" si="11"/>
        <v>01</v>
      </c>
    </row>
    <row r="717" spans="2:2" x14ac:dyDescent="0.25">
      <c r="B717" t="str">
        <f t="shared" si="11"/>
        <v>01</v>
      </c>
    </row>
    <row r="718" spans="2:2" x14ac:dyDescent="0.25">
      <c r="B718" t="str">
        <f t="shared" si="11"/>
        <v>01</v>
      </c>
    </row>
    <row r="719" spans="2:2" x14ac:dyDescent="0.25">
      <c r="B719" t="str">
        <f t="shared" si="11"/>
        <v>01</v>
      </c>
    </row>
    <row r="720" spans="2:2" x14ac:dyDescent="0.25">
      <c r="B720" t="str">
        <f t="shared" si="11"/>
        <v>01</v>
      </c>
    </row>
    <row r="721" spans="2:2" x14ac:dyDescent="0.25">
      <c r="B721" t="str">
        <f t="shared" si="11"/>
        <v>01</v>
      </c>
    </row>
    <row r="722" spans="2:2" x14ac:dyDescent="0.25">
      <c r="B722" t="str">
        <f t="shared" si="11"/>
        <v>01</v>
      </c>
    </row>
    <row r="723" spans="2:2" x14ac:dyDescent="0.25">
      <c r="B723" t="str">
        <f t="shared" si="11"/>
        <v>01</v>
      </c>
    </row>
    <row r="724" spans="2:2" x14ac:dyDescent="0.25">
      <c r="B724" t="str">
        <f t="shared" si="11"/>
        <v>01</v>
      </c>
    </row>
    <row r="725" spans="2:2" x14ac:dyDescent="0.25">
      <c r="B725" t="str">
        <f t="shared" si="11"/>
        <v>01</v>
      </c>
    </row>
    <row r="726" spans="2:2" x14ac:dyDescent="0.25">
      <c r="B726" t="str">
        <f t="shared" si="11"/>
        <v>01</v>
      </c>
    </row>
    <row r="727" spans="2:2" x14ac:dyDescent="0.25">
      <c r="B727" t="str">
        <f t="shared" si="11"/>
        <v>01</v>
      </c>
    </row>
    <row r="728" spans="2:2" x14ac:dyDescent="0.25">
      <c r="B728" t="str">
        <f t="shared" si="11"/>
        <v>01</v>
      </c>
    </row>
    <row r="729" spans="2:2" x14ac:dyDescent="0.25">
      <c r="B729" t="str">
        <f t="shared" si="11"/>
        <v>01</v>
      </c>
    </row>
    <row r="730" spans="2:2" x14ac:dyDescent="0.25">
      <c r="B730" t="str">
        <f t="shared" si="11"/>
        <v>01</v>
      </c>
    </row>
    <row r="731" spans="2:2" x14ac:dyDescent="0.25">
      <c r="B731" t="str">
        <f t="shared" si="11"/>
        <v>01</v>
      </c>
    </row>
    <row r="732" spans="2:2" x14ac:dyDescent="0.25">
      <c r="B732" t="str">
        <f t="shared" si="11"/>
        <v>01</v>
      </c>
    </row>
    <row r="733" spans="2:2" x14ac:dyDescent="0.25">
      <c r="B733" t="str">
        <f t="shared" si="11"/>
        <v>01</v>
      </c>
    </row>
    <row r="734" spans="2:2" x14ac:dyDescent="0.25">
      <c r="B734" t="str">
        <f t="shared" si="11"/>
        <v>01</v>
      </c>
    </row>
    <row r="735" spans="2:2" x14ac:dyDescent="0.25">
      <c r="B735" t="str">
        <f t="shared" si="11"/>
        <v>01</v>
      </c>
    </row>
    <row r="736" spans="2:2" x14ac:dyDescent="0.25">
      <c r="B736" t="str">
        <f t="shared" si="11"/>
        <v>01</v>
      </c>
    </row>
    <row r="737" spans="2:2" x14ac:dyDescent="0.25">
      <c r="B737" t="str">
        <f t="shared" si="11"/>
        <v>01</v>
      </c>
    </row>
    <row r="738" spans="2:2" x14ac:dyDescent="0.25">
      <c r="B738" t="str">
        <f t="shared" si="11"/>
        <v>01</v>
      </c>
    </row>
    <row r="739" spans="2:2" x14ac:dyDescent="0.25">
      <c r="B739" t="str">
        <f t="shared" si="11"/>
        <v>01</v>
      </c>
    </row>
    <row r="740" spans="2:2" x14ac:dyDescent="0.25">
      <c r="B740" t="str">
        <f t="shared" si="11"/>
        <v>01</v>
      </c>
    </row>
    <row r="741" spans="2:2" x14ac:dyDescent="0.25">
      <c r="B741" t="str">
        <f t="shared" si="11"/>
        <v>01</v>
      </c>
    </row>
    <row r="742" spans="2:2" x14ac:dyDescent="0.25">
      <c r="B742" t="str">
        <f t="shared" si="11"/>
        <v>01</v>
      </c>
    </row>
    <row r="743" spans="2:2" x14ac:dyDescent="0.25">
      <c r="B743" t="str">
        <f t="shared" si="11"/>
        <v>01</v>
      </c>
    </row>
    <row r="744" spans="2:2" x14ac:dyDescent="0.25">
      <c r="B744" t="str">
        <f t="shared" si="11"/>
        <v>01</v>
      </c>
    </row>
    <row r="745" spans="2:2" x14ac:dyDescent="0.25">
      <c r="B745" t="str">
        <f t="shared" si="11"/>
        <v>01</v>
      </c>
    </row>
    <row r="746" spans="2:2" x14ac:dyDescent="0.25">
      <c r="B746" t="str">
        <f t="shared" si="11"/>
        <v>01</v>
      </c>
    </row>
    <row r="747" spans="2:2" x14ac:dyDescent="0.25">
      <c r="B747" t="str">
        <f t="shared" si="11"/>
        <v>01</v>
      </c>
    </row>
    <row r="748" spans="2:2" x14ac:dyDescent="0.25">
      <c r="B748" t="str">
        <f t="shared" si="11"/>
        <v>01</v>
      </c>
    </row>
    <row r="749" spans="2:2" x14ac:dyDescent="0.25">
      <c r="B749" t="str">
        <f t="shared" si="11"/>
        <v>01</v>
      </c>
    </row>
    <row r="750" spans="2:2" x14ac:dyDescent="0.25">
      <c r="B750" t="str">
        <f t="shared" si="11"/>
        <v>01</v>
      </c>
    </row>
    <row r="751" spans="2:2" x14ac:dyDescent="0.25">
      <c r="B751" t="str">
        <f t="shared" si="11"/>
        <v>01</v>
      </c>
    </row>
    <row r="752" spans="2:2" x14ac:dyDescent="0.25">
      <c r="B752" t="str">
        <f t="shared" si="11"/>
        <v>01</v>
      </c>
    </row>
    <row r="753" spans="2:2" x14ac:dyDescent="0.25">
      <c r="B753" t="str">
        <f t="shared" si="11"/>
        <v>01</v>
      </c>
    </row>
    <row r="754" spans="2:2" x14ac:dyDescent="0.25">
      <c r="B754" t="str">
        <f t="shared" si="11"/>
        <v>01</v>
      </c>
    </row>
    <row r="755" spans="2:2" x14ac:dyDescent="0.25">
      <c r="B755" t="str">
        <f t="shared" si="11"/>
        <v>01</v>
      </c>
    </row>
    <row r="756" spans="2:2" x14ac:dyDescent="0.25">
      <c r="B756" t="str">
        <f t="shared" si="11"/>
        <v>01</v>
      </c>
    </row>
    <row r="757" spans="2:2" x14ac:dyDescent="0.25">
      <c r="B757" t="str">
        <f t="shared" si="11"/>
        <v>01</v>
      </c>
    </row>
    <row r="758" spans="2:2" x14ac:dyDescent="0.25">
      <c r="B758" t="str">
        <f t="shared" si="11"/>
        <v>01</v>
      </c>
    </row>
    <row r="759" spans="2:2" x14ac:dyDescent="0.25">
      <c r="B759" t="str">
        <f t="shared" si="11"/>
        <v>01</v>
      </c>
    </row>
    <row r="760" spans="2:2" x14ac:dyDescent="0.25">
      <c r="B760" t="str">
        <f t="shared" si="11"/>
        <v>01</v>
      </c>
    </row>
    <row r="761" spans="2:2" x14ac:dyDescent="0.25">
      <c r="B761" t="str">
        <f t="shared" si="11"/>
        <v>01</v>
      </c>
    </row>
    <row r="762" spans="2:2" x14ac:dyDescent="0.25">
      <c r="B762" t="str">
        <f t="shared" si="11"/>
        <v>01</v>
      </c>
    </row>
    <row r="763" spans="2:2" x14ac:dyDescent="0.25">
      <c r="B763" t="str">
        <f t="shared" si="11"/>
        <v>01</v>
      </c>
    </row>
    <row r="764" spans="2:2" x14ac:dyDescent="0.25">
      <c r="B764" t="str">
        <f t="shared" si="11"/>
        <v>01</v>
      </c>
    </row>
    <row r="765" spans="2:2" x14ac:dyDescent="0.25">
      <c r="B765" t="str">
        <f t="shared" si="11"/>
        <v>01</v>
      </c>
    </row>
    <row r="766" spans="2:2" x14ac:dyDescent="0.25">
      <c r="B766" t="str">
        <f t="shared" si="11"/>
        <v>01</v>
      </c>
    </row>
    <row r="767" spans="2:2" x14ac:dyDescent="0.25">
      <c r="B767" t="str">
        <f t="shared" si="11"/>
        <v>01</v>
      </c>
    </row>
    <row r="768" spans="2:2" x14ac:dyDescent="0.25">
      <c r="B768" t="str">
        <f t="shared" si="11"/>
        <v>01</v>
      </c>
    </row>
    <row r="769" spans="2:2" x14ac:dyDescent="0.25">
      <c r="B769" t="str">
        <f t="shared" si="11"/>
        <v>01</v>
      </c>
    </row>
    <row r="770" spans="2:2" x14ac:dyDescent="0.25">
      <c r="B770" t="str">
        <f t="shared" si="11"/>
        <v>01</v>
      </c>
    </row>
    <row r="771" spans="2:2" x14ac:dyDescent="0.25">
      <c r="B771" t="str">
        <f t="shared" si="11"/>
        <v>01</v>
      </c>
    </row>
    <row r="772" spans="2:2" x14ac:dyDescent="0.25">
      <c r="B772" t="str">
        <f t="shared" si="11"/>
        <v>01</v>
      </c>
    </row>
    <row r="773" spans="2:2" x14ac:dyDescent="0.25">
      <c r="B773" t="str">
        <f t="shared" si="11"/>
        <v>01</v>
      </c>
    </row>
    <row r="774" spans="2:2" x14ac:dyDescent="0.25">
      <c r="B774" t="str">
        <f t="shared" ref="B774:B837" si="12">TEXT(C774,"MM")</f>
        <v>01</v>
      </c>
    </row>
    <row r="775" spans="2:2" x14ac:dyDescent="0.25">
      <c r="B775" t="str">
        <f t="shared" si="12"/>
        <v>01</v>
      </c>
    </row>
    <row r="776" spans="2:2" x14ac:dyDescent="0.25">
      <c r="B776" t="str">
        <f t="shared" si="12"/>
        <v>01</v>
      </c>
    </row>
    <row r="777" spans="2:2" x14ac:dyDescent="0.25">
      <c r="B777" t="str">
        <f t="shared" si="12"/>
        <v>01</v>
      </c>
    </row>
    <row r="778" spans="2:2" x14ac:dyDescent="0.25">
      <c r="B778" t="str">
        <f t="shared" si="12"/>
        <v>01</v>
      </c>
    </row>
    <row r="779" spans="2:2" x14ac:dyDescent="0.25">
      <c r="B779" t="str">
        <f t="shared" si="12"/>
        <v>01</v>
      </c>
    </row>
    <row r="780" spans="2:2" x14ac:dyDescent="0.25">
      <c r="B780" t="str">
        <f t="shared" si="12"/>
        <v>01</v>
      </c>
    </row>
    <row r="781" spans="2:2" x14ac:dyDescent="0.25">
      <c r="B781" t="str">
        <f t="shared" si="12"/>
        <v>01</v>
      </c>
    </row>
    <row r="782" spans="2:2" x14ac:dyDescent="0.25">
      <c r="B782" t="str">
        <f t="shared" si="12"/>
        <v>01</v>
      </c>
    </row>
    <row r="783" spans="2:2" x14ac:dyDescent="0.25">
      <c r="B783" t="str">
        <f t="shared" si="12"/>
        <v>01</v>
      </c>
    </row>
    <row r="784" spans="2:2" x14ac:dyDescent="0.25">
      <c r="B784" t="str">
        <f t="shared" si="12"/>
        <v>01</v>
      </c>
    </row>
    <row r="785" spans="2:2" x14ac:dyDescent="0.25">
      <c r="B785" t="str">
        <f t="shared" si="12"/>
        <v>01</v>
      </c>
    </row>
    <row r="786" spans="2:2" x14ac:dyDescent="0.25">
      <c r="B786" t="str">
        <f t="shared" si="12"/>
        <v>01</v>
      </c>
    </row>
    <row r="787" spans="2:2" x14ac:dyDescent="0.25">
      <c r="B787" t="str">
        <f t="shared" si="12"/>
        <v>01</v>
      </c>
    </row>
    <row r="788" spans="2:2" x14ac:dyDescent="0.25">
      <c r="B788" t="str">
        <f t="shared" si="12"/>
        <v>01</v>
      </c>
    </row>
    <row r="789" spans="2:2" x14ac:dyDescent="0.25">
      <c r="B789" t="str">
        <f t="shared" si="12"/>
        <v>01</v>
      </c>
    </row>
    <row r="790" spans="2:2" x14ac:dyDescent="0.25">
      <c r="B790" t="str">
        <f t="shared" si="12"/>
        <v>01</v>
      </c>
    </row>
    <row r="791" spans="2:2" x14ac:dyDescent="0.25">
      <c r="B791" t="str">
        <f t="shared" si="12"/>
        <v>01</v>
      </c>
    </row>
    <row r="792" spans="2:2" x14ac:dyDescent="0.25">
      <c r="B792" t="str">
        <f t="shared" si="12"/>
        <v>01</v>
      </c>
    </row>
    <row r="793" spans="2:2" x14ac:dyDescent="0.25">
      <c r="B793" t="str">
        <f t="shared" si="12"/>
        <v>01</v>
      </c>
    </row>
    <row r="794" spans="2:2" x14ac:dyDescent="0.25">
      <c r="B794" t="str">
        <f t="shared" si="12"/>
        <v>01</v>
      </c>
    </row>
    <row r="795" spans="2:2" x14ac:dyDescent="0.25">
      <c r="B795" t="str">
        <f t="shared" si="12"/>
        <v>01</v>
      </c>
    </row>
    <row r="796" spans="2:2" x14ac:dyDescent="0.25">
      <c r="B796" t="str">
        <f t="shared" si="12"/>
        <v>01</v>
      </c>
    </row>
    <row r="797" spans="2:2" x14ac:dyDescent="0.25">
      <c r="B797" t="str">
        <f t="shared" si="12"/>
        <v>01</v>
      </c>
    </row>
    <row r="798" spans="2:2" x14ac:dyDescent="0.25">
      <c r="B798" t="str">
        <f t="shared" si="12"/>
        <v>01</v>
      </c>
    </row>
    <row r="799" spans="2:2" x14ac:dyDescent="0.25">
      <c r="B799" t="str">
        <f t="shared" si="12"/>
        <v>01</v>
      </c>
    </row>
    <row r="800" spans="2:2" x14ac:dyDescent="0.25">
      <c r="B800" t="str">
        <f t="shared" si="12"/>
        <v>01</v>
      </c>
    </row>
    <row r="801" spans="2:2" x14ac:dyDescent="0.25">
      <c r="B801" t="str">
        <f t="shared" si="12"/>
        <v>01</v>
      </c>
    </row>
    <row r="802" spans="2:2" x14ac:dyDescent="0.25">
      <c r="B802" t="str">
        <f t="shared" si="12"/>
        <v>01</v>
      </c>
    </row>
    <row r="803" spans="2:2" x14ac:dyDescent="0.25">
      <c r="B803" t="str">
        <f t="shared" si="12"/>
        <v>01</v>
      </c>
    </row>
    <row r="804" spans="2:2" x14ac:dyDescent="0.25">
      <c r="B804" t="str">
        <f t="shared" si="12"/>
        <v>01</v>
      </c>
    </row>
    <row r="805" spans="2:2" x14ac:dyDescent="0.25">
      <c r="B805" t="str">
        <f t="shared" si="12"/>
        <v>01</v>
      </c>
    </row>
    <row r="806" spans="2:2" x14ac:dyDescent="0.25">
      <c r="B806" t="str">
        <f t="shared" si="12"/>
        <v>01</v>
      </c>
    </row>
    <row r="807" spans="2:2" x14ac:dyDescent="0.25">
      <c r="B807" t="str">
        <f t="shared" si="12"/>
        <v>01</v>
      </c>
    </row>
    <row r="808" spans="2:2" x14ac:dyDescent="0.25">
      <c r="B808" t="str">
        <f t="shared" si="12"/>
        <v>01</v>
      </c>
    </row>
    <row r="809" spans="2:2" x14ac:dyDescent="0.25">
      <c r="B809" t="str">
        <f t="shared" si="12"/>
        <v>01</v>
      </c>
    </row>
    <row r="810" spans="2:2" x14ac:dyDescent="0.25">
      <c r="B810" t="str">
        <f t="shared" si="12"/>
        <v>01</v>
      </c>
    </row>
    <row r="811" spans="2:2" x14ac:dyDescent="0.25">
      <c r="B811" t="str">
        <f t="shared" si="12"/>
        <v>01</v>
      </c>
    </row>
    <row r="812" spans="2:2" x14ac:dyDescent="0.25">
      <c r="B812" t="str">
        <f t="shared" si="12"/>
        <v>01</v>
      </c>
    </row>
    <row r="813" spans="2:2" x14ac:dyDescent="0.25">
      <c r="B813" t="str">
        <f t="shared" si="12"/>
        <v>01</v>
      </c>
    </row>
    <row r="814" spans="2:2" x14ac:dyDescent="0.25">
      <c r="B814" t="str">
        <f t="shared" si="12"/>
        <v>01</v>
      </c>
    </row>
    <row r="815" spans="2:2" x14ac:dyDescent="0.25">
      <c r="B815" t="str">
        <f t="shared" si="12"/>
        <v>01</v>
      </c>
    </row>
    <row r="816" spans="2:2" x14ac:dyDescent="0.25">
      <c r="B816" t="str">
        <f t="shared" si="12"/>
        <v>01</v>
      </c>
    </row>
    <row r="817" spans="2:2" x14ac:dyDescent="0.25">
      <c r="B817" t="str">
        <f t="shared" si="12"/>
        <v>01</v>
      </c>
    </row>
    <row r="818" spans="2:2" x14ac:dyDescent="0.25">
      <c r="B818" t="str">
        <f t="shared" si="12"/>
        <v>01</v>
      </c>
    </row>
    <row r="819" spans="2:2" x14ac:dyDescent="0.25">
      <c r="B819" t="str">
        <f t="shared" si="12"/>
        <v>01</v>
      </c>
    </row>
    <row r="820" spans="2:2" x14ac:dyDescent="0.25">
      <c r="B820" t="str">
        <f t="shared" si="12"/>
        <v>01</v>
      </c>
    </row>
    <row r="821" spans="2:2" x14ac:dyDescent="0.25">
      <c r="B821" t="str">
        <f t="shared" si="12"/>
        <v>01</v>
      </c>
    </row>
    <row r="822" spans="2:2" x14ac:dyDescent="0.25">
      <c r="B822" t="str">
        <f t="shared" si="12"/>
        <v>01</v>
      </c>
    </row>
    <row r="823" spans="2:2" x14ac:dyDescent="0.25">
      <c r="B823" t="str">
        <f t="shared" si="12"/>
        <v>01</v>
      </c>
    </row>
    <row r="824" spans="2:2" x14ac:dyDescent="0.25">
      <c r="B824" t="str">
        <f t="shared" si="12"/>
        <v>01</v>
      </c>
    </row>
    <row r="825" spans="2:2" x14ac:dyDescent="0.25">
      <c r="B825" t="str">
        <f t="shared" si="12"/>
        <v>01</v>
      </c>
    </row>
    <row r="826" spans="2:2" x14ac:dyDescent="0.25">
      <c r="B826" t="str">
        <f t="shared" si="12"/>
        <v>01</v>
      </c>
    </row>
    <row r="827" spans="2:2" x14ac:dyDescent="0.25">
      <c r="B827" t="str">
        <f t="shared" si="12"/>
        <v>01</v>
      </c>
    </row>
    <row r="828" spans="2:2" x14ac:dyDescent="0.25">
      <c r="B828" t="str">
        <f t="shared" si="12"/>
        <v>01</v>
      </c>
    </row>
    <row r="829" spans="2:2" x14ac:dyDescent="0.25">
      <c r="B829" t="str">
        <f t="shared" si="12"/>
        <v>01</v>
      </c>
    </row>
    <row r="830" spans="2:2" x14ac:dyDescent="0.25">
      <c r="B830" t="str">
        <f t="shared" si="12"/>
        <v>01</v>
      </c>
    </row>
    <row r="831" spans="2:2" x14ac:dyDescent="0.25">
      <c r="B831" t="str">
        <f t="shared" si="12"/>
        <v>01</v>
      </c>
    </row>
    <row r="832" spans="2:2" x14ac:dyDescent="0.25">
      <c r="B832" t="str">
        <f t="shared" si="12"/>
        <v>01</v>
      </c>
    </row>
    <row r="833" spans="2:2" x14ac:dyDescent="0.25">
      <c r="B833" t="str">
        <f t="shared" si="12"/>
        <v>01</v>
      </c>
    </row>
    <row r="834" spans="2:2" x14ac:dyDescent="0.25">
      <c r="B834" t="str">
        <f t="shared" si="12"/>
        <v>01</v>
      </c>
    </row>
    <row r="835" spans="2:2" x14ac:dyDescent="0.25">
      <c r="B835" t="str">
        <f t="shared" si="12"/>
        <v>01</v>
      </c>
    </row>
    <row r="836" spans="2:2" x14ac:dyDescent="0.25">
      <c r="B836" t="str">
        <f t="shared" si="12"/>
        <v>01</v>
      </c>
    </row>
    <row r="837" spans="2:2" x14ac:dyDescent="0.25">
      <c r="B837" t="str">
        <f t="shared" si="12"/>
        <v>01</v>
      </c>
    </row>
    <row r="838" spans="2:2" x14ac:dyDescent="0.25">
      <c r="B838" t="str">
        <f t="shared" ref="B838:B901" si="13">TEXT(C838,"MM")</f>
        <v>01</v>
      </c>
    </row>
    <row r="839" spans="2:2" x14ac:dyDescent="0.25">
      <c r="B839" t="str">
        <f t="shared" si="13"/>
        <v>01</v>
      </c>
    </row>
    <row r="840" spans="2:2" x14ac:dyDescent="0.25">
      <c r="B840" t="str">
        <f t="shared" si="13"/>
        <v>01</v>
      </c>
    </row>
    <row r="841" spans="2:2" x14ac:dyDescent="0.25">
      <c r="B841" t="str">
        <f t="shared" si="13"/>
        <v>01</v>
      </c>
    </row>
    <row r="842" spans="2:2" x14ac:dyDescent="0.25">
      <c r="B842" t="str">
        <f t="shared" si="13"/>
        <v>01</v>
      </c>
    </row>
    <row r="843" spans="2:2" x14ac:dyDescent="0.25">
      <c r="B843" t="str">
        <f t="shared" si="13"/>
        <v>01</v>
      </c>
    </row>
    <row r="844" spans="2:2" x14ac:dyDescent="0.25">
      <c r="B844" t="str">
        <f t="shared" si="13"/>
        <v>01</v>
      </c>
    </row>
    <row r="845" spans="2:2" x14ac:dyDescent="0.25">
      <c r="B845" t="str">
        <f t="shared" si="13"/>
        <v>01</v>
      </c>
    </row>
    <row r="846" spans="2:2" x14ac:dyDescent="0.25">
      <c r="B846" t="str">
        <f t="shared" si="13"/>
        <v>01</v>
      </c>
    </row>
    <row r="847" spans="2:2" x14ac:dyDescent="0.25">
      <c r="B847" t="str">
        <f t="shared" si="13"/>
        <v>01</v>
      </c>
    </row>
    <row r="848" spans="2:2" x14ac:dyDescent="0.25">
      <c r="B848" t="str">
        <f t="shared" si="13"/>
        <v>01</v>
      </c>
    </row>
    <row r="849" spans="2:2" x14ac:dyDescent="0.25">
      <c r="B849" t="str">
        <f t="shared" si="13"/>
        <v>01</v>
      </c>
    </row>
    <row r="850" spans="2:2" x14ac:dyDescent="0.25">
      <c r="B850" t="str">
        <f t="shared" si="13"/>
        <v>01</v>
      </c>
    </row>
    <row r="851" spans="2:2" x14ac:dyDescent="0.25">
      <c r="B851" t="str">
        <f t="shared" si="13"/>
        <v>01</v>
      </c>
    </row>
    <row r="852" spans="2:2" x14ac:dyDescent="0.25">
      <c r="B852" t="str">
        <f t="shared" si="13"/>
        <v>01</v>
      </c>
    </row>
    <row r="853" spans="2:2" x14ac:dyDescent="0.25">
      <c r="B853" t="str">
        <f t="shared" si="13"/>
        <v>01</v>
      </c>
    </row>
    <row r="854" spans="2:2" x14ac:dyDescent="0.25">
      <c r="B854" t="str">
        <f t="shared" si="13"/>
        <v>01</v>
      </c>
    </row>
    <row r="855" spans="2:2" x14ac:dyDescent="0.25">
      <c r="B855" t="str">
        <f t="shared" si="13"/>
        <v>01</v>
      </c>
    </row>
    <row r="856" spans="2:2" x14ac:dyDescent="0.25">
      <c r="B856" t="str">
        <f t="shared" si="13"/>
        <v>01</v>
      </c>
    </row>
    <row r="857" spans="2:2" x14ac:dyDescent="0.25">
      <c r="B857" t="str">
        <f t="shared" si="13"/>
        <v>01</v>
      </c>
    </row>
    <row r="858" spans="2:2" x14ac:dyDescent="0.25">
      <c r="B858" t="str">
        <f t="shared" si="13"/>
        <v>01</v>
      </c>
    </row>
    <row r="859" spans="2:2" x14ac:dyDescent="0.25">
      <c r="B859" t="str">
        <f t="shared" si="13"/>
        <v>01</v>
      </c>
    </row>
    <row r="860" spans="2:2" x14ac:dyDescent="0.25">
      <c r="B860" t="str">
        <f t="shared" si="13"/>
        <v>01</v>
      </c>
    </row>
    <row r="861" spans="2:2" x14ac:dyDescent="0.25">
      <c r="B861" t="str">
        <f t="shared" si="13"/>
        <v>01</v>
      </c>
    </row>
    <row r="862" spans="2:2" x14ac:dyDescent="0.25">
      <c r="B862" t="str">
        <f t="shared" si="13"/>
        <v>01</v>
      </c>
    </row>
    <row r="863" spans="2:2" x14ac:dyDescent="0.25">
      <c r="B863" t="str">
        <f t="shared" si="13"/>
        <v>01</v>
      </c>
    </row>
    <row r="864" spans="2:2" x14ac:dyDescent="0.25">
      <c r="B864" t="str">
        <f t="shared" si="13"/>
        <v>01</v>
      </c>
    </row>
    <row r="865" spans="2:2" x14ac:dyDescent="0.25">
      <c r="B865" t="str">
        <f t="shared" si="13"/>
        <v>01</v>
      </c>
    </row>
    <row r="866" spans="2:2" x14ac:dyDescent="0.25">
      <c r="B866" t="str">
        <f t="shared" si="13"/>
        <v>01</v>
      </c>
    </row>
    <row r="867" spans="2:2" x14ac:dyDescent="0.25">
      <c r="B867" t="str">
        <f t="shared" si="13"/>
        <v>01</v>
      </c>
    </row>
    <row r="868" spans="2:2" x14ac:dyDescent="0.25">
      <c r="B868" t="str">
        <f t="shared" si="13"/>
        <v>01</v>
      </c>
    </row>
    <row r="869" spans="2:2" x14ac:dyDescent="0.25">
      <c r="B869" t="str">
        <f t="shared" si="13"/>
        <v>01</v>
      </c>
    </row>
    <row r="870" spans="2:2" x14ac:dyDescent="0.25">
      <c r="B870" t="str">
        <f t="shared" si="13"/>
        <v>01</v>
      </c>
    </row>
    <row r="871" spans="2:2" x14ac:dyDescent="0.25">
      <c r="B871" t="str">
        <f t="shared" si="13"/>
        <v>01</v>
      </c>
    </row>
    <row r="872" spans="2:2" x14ac:dyDescent="0.25">
      <c r="B872" t="str">
        <f t="shared" si="13"/>
        <v>01</v>
      </c>
    </row>
    <row r="873" spans="2:2" x14ac:dyDescent="0.25">
      <c r="B873" t="str">
        <f t="shared" si="13"/>
        <v>01</v>
      </c>
    </row>
    <row r="874" spans="2:2" x14ac:dyDescent="0.25">
      <c r="B874" t="str">
        <f t="shared" si="13"/>
        <v>01</v>
      </c>
    </row>
    <row r="875" spans="2:2" x14ac:dyDescent="0.25">
      <c r="B875" t="str">
        <f t="shared" si="13"/>
        <v>01</v>
      </c>
    </row>
    <row r="876" spans="2:2" x14ac:dyDescent="0.25">
      <c r="B876" t="str">
        <f t="shared" si="13"/>
        <v>01</v>
      </c>
    </row>
    <row r="877" spans="2:2" x14ac:dyDescent="0.25">
      <c r="B877" t="str">
        <f t="shared" si="13"/>
        <v>01</v>
      </c>
    </row>
    <row r="878" spans="2:2" x14ac:dyDescent="0.25">
      <c r="B878" t="str">
        <f t="shared" si="13"/>
        <v>01</v>
      </c>
    </row>
    <row r="879" spans="2:2" x14ac:dyDescent="0.25">
      <c r="B879" t="str">
        <f t="shared" si="13"/>
        <v>01</v>
      </c>
    </row>
    <row r="880" spans="2:2" x14ac:dyDescent="0.25">
      <c r="B880" t="str">
        <f t="shared" si="13"/>
        <v>01</v>
      </c>
    </row>
    <row r="881" spans="2:2" x14ac:dyDescent="0.25">
      <c r="B881" t="str">
        <f t="shared" si="13"/>
        <v>01</v>
      </c>
    </row>
    <row r="882" spans="2:2" x14ac:dyDescent="0.25">
      <c r="B882" t="str">
        <f t="shared" si="13"/>
        <v>01</v>
      </c>
    </row>
    <row r="883" spans="2:2" x14ac:dyDescent="0.25">
      <c r="B883" t="str">
        <f t="shared" si="13"/>
        <v>01</v>
      </c>
    </row>
    <row r="884" spans="2:2" x14ac:dyDescent="0.25">
      <c r="B884" t="str">
        <f t="shared" si="13"/>
        <v>01</v>
      </c>
    </row>
    <row r="885" spans="2:2" x14ac:dyDescent="0.25">
      <c r="B885" t="str">
        <f t="shared" si="13"/>
        <v>01</v>
      </c>
    </row>
    <row r="886" spans="2:2" x14ac:dyDescent="0.25">
      <c r="B886" t="str">
        <f t="shared" si="13"/>
        <v>01</v>
      </c>
    </row>
    <row r="887" spans="2:2" x14ac:dyDescent="0.25">
      <c r="B887" t="str">
        <f t="shared" si="13"/>
        <v>01</v>
      </c>
    </row>
    <row r="888" spans="2:2" x14ac:dyDescent="0.25">
      <c r="B888" t="str">
        <f t="shared" si="13"/>
        <v>01</v>
      </c>
    </row>
    <row r="889" spans="2:2" x14ac:dyDescent="0.25">
      <c r="B889" t="str">
        <f t="shared" si="13"/>
        <v>01</v>
      </c>
    </row>
    <row r="890" spans="2:2" x14ac:dyDescent="0.25">
      <c r="B890" t="str">
        <f t="shared" si="13"/>
        <v>01</v>
      </c>
    </row>
    <row r="891" spans="2:2" x14ac:dyDescent="0.25">
      <c r="B891" t="str">
        <f t="shared" si="13"/>
        <v>01</v>
      </c>
    </row>
    <row r="892" spans="2:2" x14ac:dyDescent="0.25">
      <c r="B892" t="str">
        <f t="shared" si="13"/>
        <v>01</v>
      </c>
    </row>
    <row r="893" spans="2:2" x14ac:dyDescent="0.25">
      <c r="B893" t="str">
        <f t="shared" si="13"/>
        <v>01</v>
      </c>
    </row>
    <row r="894" spans="2:2" x14ac:dyDescent="0.25">
      <c r="B894" t="str">
        <f t="shared" si="13"/>
        <v>01</v>
      </c>
    </row>
    <row r="895" spans="2:2" x14ac:dyDescent="0.25">
      <c r="B895" t="str">
        <f t="shared" si="13"/>
        <v>01</v>
      </c>
    </row>
    <row r="896" spans="2:2" x14ac:dyDescent="0.25">
      <c r="B896" t="str">
        <f t="shared" si="13"/>
        <v>01</v>
      </c>
    </row>
    <row r="897" spans="2:2" x14ac:dyDescent="0.25">
      <c r="B897" t="str">
        <f t="shared" si="13"/>
        <v>01</v>
      </c>
    </row>
    <row r="898" spans="2:2" x14ac:dyDescent="0.25">
      <c r="B898" t="str">
        <f t="shared" si="13"/>
        <v>01</v>
      </c>
    </row>
    <row r="899" spans="2:2" x14ac:dyDescent="0.25">
      <c r="B899" t="str">
        <f t="shared" si="13"/>
        <v>01</v>
      </c>
    </row>
    <row r="900" spans="2:2" x14ac:dyDescent="0.25">
      <c r="B900" t="str">
        <f t="shared" si="13"/>
        <v>01</v>
      </c>
    </row>
    <row r="901" spans="2:2" x14ac:dyDescent="0.25">
      <c r="B901" t="str">
        <f t="shared" si="13"/>
        <v>01</v>
      </c>
    </row>
    <row r="902" spans="2:2" x14ac:dyDescent="0.25">
      <c r="B902" t="str">
        <f t="shared" ref="B902:B965" si="14">TEXT(C902,"MM")</f>
        <v>01</v>
      </c>
    </row>
    <row r="903" spans="2:2" x14ac:dyDescent="0.25">
      <c r="B903" t="str">
        <f t="shared" si="14"/>
        <v>01</v>
      </c>
    </row>
    <row r="904" spans="2:2" x14ac:dyDescent="0.25">
      <c r="B904" t="str">
        <f t="shared" si="14"/>
        <v>01</v>
      </c>
    </row>
    <row r="905" spans="2:2" x14ac:dyDescent="0.25">
      <c r="B905" t="str">
        <f t="shared" si="14"/>
        <v>01</v>
      </c>
    </row>
    <row r="906" spans="2:2" x14ac:dyDescent="0.25">
      <c r="B906" t="str">
        <f t="shared" si="14"/>
        <v>01</v>
      </c>
    </row>
    <row r="907" spans="2:2" x14ac:dyDescent="0.25">
      <c r="B907" t="str">
        <f t="shared" si="14"/>
        <v>01</v>
      </c>
    </row>
    <row r="908" spans="2:2" x14ac:dyDescent="0.25">
      <c r="B908" t="str">
        <f t="shared" si="14"/>
        <v>01</v>
      </c>
    </row>
    <row r="909" spans="2:2" x14ac:dyDescent="0.25">
      <c r="B909" t="str">
        <f t="shared" si="14"/>
        <v>01</v>
      </c>
    </row>
    <row r="910" spans="2:2" x14ac:dyDescent="0.25">
      <c r="B910" t="str">
        <f t="shared" si="14"/>
        <v>01</v>
      </c>
    </row>
    <row r="911" spans="2:2" x14ac:dyDescent="0.25">
      <c r="B911" t="str">
        <f t="shared" si="14"/>
        <v>01</v>
      </c>
    </row>
    <row r="912" spans="2:2" x14ac:dyDescent="0.25">
      <c r="B912" t="str">
        <f t="shared" si="14"/>
        <v>01</v>
      </c>
    </row>
    <row r="913" spans="2:2" x14ac:dyDescent="0.25">
      <c r="B913" t="str">
        <f t="shared" si="14"/>
        <v>01</v>
      </c>
    </row>
    <row r="914" spans="2:2" x14ac:dyDescent="0.25">
      <c r="B914" t="str">
        <f t="shared" si="14"/>
        <v>01</v>
      </c>
    </row>
    <row r="915" spans="2:2" x14ac:dyDescent="0.25">
      <c r="B915" t="str">
        <f t="shared" si="14"/>
        <v>01</v>
      </c>
    </row>
    <row r="916" spans="2:2" x14ac:dyDescent="0.25">
      <c r="B916" t="str">
        <f t="shared" si="14"/>
        <v>01</v>
      </c>
    </row>
    <row r="917" spans="2:2" x14ac:dyDescent="0.25">
      <c r="B917" t="str">
        <f t="shared" si="14"/>
        <v>01</v>
      </c>
    </row>
    <row r="918" spans="2:2" x14ac:dyDescent="0.25">
      <c r="B918" t="str">
        <f t="shared" si="14"/>
        <v>01</v>
      </c>
    </row>
    <row r="919" spans="2:2" x14ac:dyDescent="0.25">
      <c r="B919" t="str">
        <f t="shared" si="14"/>
        <v>01</v>
      </c>
    </row>
    <row r="920" spans="2:2" x14ac:dyDescent="0.25">
      <c r="B920" t="str">
        <f t="shared" si="14"/>
        <v>01</v>
      </c>
    </row>
    <row r="921" spans="2:2" x14ac:dyDescent="0.25">
      <c r="B921" t="str">
        <f t="shared" si="14"/>
        <v>01</v>
      </c>
    </row>
    <row r="922" spans="2:2" x14ac:dyDescent="0.25">
      <c r="B922" t="str">
        <f t="shared" si="14"/>
        <v>01</v>
      </c>
    </row>
    <row r="923" spans="2:2" x14ac:dyDescent="0.25">
      <c r="B923" t="str">
        <f t="shared" si="14"/>
        <v>01</v>
      </c>
    </row>
    <row r="924" spans="2:2" x14ac:dyDescent="0.25">
      <c r="B924" t="str">
        <f t="shared" si="14"/>
        <v>01</v>
      </c>
    </row>
    <row r="925" spans="2:2" x14ac:dyDescent="0.25">
      <c r="B925" t="str">
        <f t="shared" si="14"/>
        <v>01</v>
      </c>
    </row>
    <row r="926" spans="2:2" x14ac:dyDescent="0.25">
      <c r="B926" t="str">
        <f t="shared" si="14"/>
        <v>01</v>
      </c>
    </row>
    <row r="927" spans="2:2" x14ac:dyDescent="0.25">
      <c r="B927" t="str">
        <f t="shared" si="14"/>
        <v>01</v>
      </c>
    </row>
    <row r="928" spans="2:2" x14ac:dyDescent="0.25">
      <c r="B928" t="str">
        <f t="shared" si="14"/>
        <v>01</v>
      </c>
    </row>
    <row r="929" spans="2:2" x14ac:dyDescent="0.25">
      <c r="B929" t="str">
        <f t="shared" si="14"/>
        <v>01</v>
      </c>
    </row>
    <row r="930" spans="2:2" x14ac:dyDescent="0.25">
      <c r="B930" t="str">
        <f t="shared" si="14"/>
        <v>01</v>
      </c>
    </row>
    <row r="931" spans="2:2" x14ac:dyDescent="0.25">
      <c r="B931" t="str">
        <f t="shared" si="14"/>
        <v>01</v>
      </c>
    </row>
    <row r="932" spans="2:2" x14ac:dyDescent="0.25">
      <c r="B932" t="str">
        <f t="shared" si="14"/>
        <v>01</v>
      </c>
    </row>
    <row r="933" spans="2:2" x14ac:dyDescent="0.25">
      <c r="B933" t="str">
        <f t="shared" si="14"/>
        <v>01</v>
      </c>
    </row>
    <row r="934" spans="2:2" x14ac:dyDescent="0.25">
      <c r="B934" t="str">
        <f t="shared" si="14"/>
        <v>01</v>
      </c>
    </row>
    <row r="935" spans="2:2" x14ac:dyDescent="0.25">
      <c r="B935" t="str">
        <f t="shared" si="14"/>
        <v>01</v>
      </c>
    </row>
    <row r="936" spans="2:2" x14ac:dyDescent="0.25">
      <c r="B936" t="str">
        <f t="shared" si="14"/>
        <v>01</v>
      </c>
    </row>
    <row r="937" spans="2:2" x14ac:dyDescent="0.25">
      <c r="B937" t="str">
        <f t="shared" si="14"/>
        <v>01</v>
      </c>
    </row>
    <row r="938" spans="2:2" x14ac:dyDescent="0.25">
      <c r="B938" t="str">
        <f t="shared" si="14"/>
        <v>01</v>
      </c>
    </row>
    <row r="939" spans="2:2" x14ac:dyDescent="0.25">
      <c r="B939" t="str">
        <f t="shared" si="14"/>
        <v>01</v>
      </c>
    </row>
    <row r="940" spans="2:2" x14ac:dyDescent="0.25">
      <c r="B940" t="str">
        <f t="shared" si="14"/>
        <v>01</v>
      </c>
    </row>
    <row r="941" spans="2:2" x14ac:dyDescent="0.25">
      <c r="B941" t="str">
        <f t="shared" si="14"/>
        <v>01</v>
      </c>
    </row>
    <row r="942" spans="2:2" x14ac:dyDescent="0.25">
      <c r="B942" t="str">
        <f t="shared" si="14"/>
        <v>01</v>
      </c>
    </row>
    <row r="943" spans="2:2" x14ac:dyDescent="0.25">
      <c r="B943" t="str">
        <f t="shared" si="14"/>
        <v>01</v>
      </c>
    </row>
    <row r="944" spans="2:2" x14ac:dyDescent="0.25">
      <c r="B944" t="str">
        <f t="shared" si="14"/>
        <v>01</v>
      </c>
    </row>
    <row r="945" spans="2:2" x14ac:dyDescent="0.25">
      <c r="B945" t="str">
        <f t="shared" si="14"/>
        <v>01</v>
      </c>
    </row>
    <row r="946" spans="2:2" x14ac:dyDescent="0.25">
      <c r="B946" t="str">
        <f t="shared" si="14"/>
        <v>01</v>
      </c>
    </row>
    <row r="947" spans="2:2" x14ac:dyDescent="0.25">
      <c r="B947" t="str">
        <f t="shared" si="14"/>
        <v>01</v>
      </c>
    </row>
    <row r="948" spans="2:2" x14ac:dyDescent="0.25">
      <c r="B948" t="str">
        <f t="shared" si="14"/>
        <v>01</v>
      </c>
    </row>
    <row r="949" spans="2:2" x14ac:dyDescent="0.25">
      <c r="B949" t="str">
        <f t="shared" si="14"/>
        <v>01</v>
      </c>
    </row>
    <row r="950" spans="2:2" x14ac:dyDescent="0.25">
      <c r="B950" t="str">
        <f t="shared" si="14"/>
        <v>01</v>
      </c>
    </row>
    <row r="951" spans="2:2" x14ac:dyDescent="0.25">
      <c r="B951" t="str">
        <f t="shared" si="14"/>
        <v>01</v>
      </c>
    </row>
    <row r="952" spans="2:2" x14ac:dyDescent="0.25">
      <c r="B952" t="str">
        <f t="shared" si="14"/>
        <v>01</v>
      </c>
    </row>
    <row r="953" spans="2:2" x14ac:dyDescent="0.25">
      <c r="B953" t="str">
        <f t="shared" si="14"/>
        <v>01</v>
      </c>
    </row>
    <row r="954" spans="2:2" x14ac:dyDescent="0.25">
      <c r="B954" t="str">
        <f t="shared" si="14"/>
        <v>01</v>
      </c>
    </row>
    <row r="955" spans="2:2" x14ac:dyDescent="0.25">
      <c r="B955" t="str">
        <f t="shared" si="14"/>
        <v>01</v>
      </c>
    </row>
    <row r="956" spans="2:2" x14ac:dyDescent="0.25">
      <c r="B956" t="str">
        <f t="shared" si="14"/>
        <v>01</v>
      </c>
    </row>
    <row r="957" spans="2:2" x14ac:dyDescent="0.25">
      <c r="B957" t="str">
        <f t="shared" si="14"/>
        <v>01</v>
      </c>
    </row>
    <row r="958" spans="2:2" x14ac:dyDescent="0.25">
      <c r="B958" t="str">
        <f t="shared" si="14"/>
        <v>01</v>
      </c>
    </row>
    <row r="959" spans="2:2" x14ac:dyDescent="0.25">
      <c r="B959" t="str">
        <f t="shared" si="14"/>
        <v>01</v>
      </c>
    </row>
    <row r="960" spans="2:2" x14ac:dyDescent="0.25">
      <c r="B960" t="str">
        <f t="shared" si="14"/>
        <v>01</v>
      </c>
    </row>
    <row r="961" spans="2:2" x14ac:dyDescent="0.25">
      <c r="B961" t="str">
        <f t="shared" si="14"/>
        <v>01</v>
      </c>
    </row>
    <row r="962" spans="2:2" x14ac:dyDescent="0.25">
      <c r="B962" t="str">
        <f t="shared" si="14"/>
        <v>01</v>
      </c>
    </row>
    <row r="963" spans="2:2" x14ac:dyDescent="0.25">
      <c r="B963" t="str">
        <f t="shared" si="14"/>
        <v>01</v>
      </c>
    </row>
    <row r="964" spans="2:2" x14ac:dyDescent="0.25">
      <c r="B964" t="str">
        <f t="shared" si="14"/>
        <v>01</v>
      </c>
    </row>
    <row r="965" spans="2:2" x14ac:dyDescent="0.25">
      <c r="B965" t="str">
        <f t="shared" si="14"/>
        <v>01</v>
      </c>
    </row>
    <row r="966" spans="2:2" x14ac:dyDescent="0.25">
      <c r="B966" t="str">
        <f t="shared" ref="B966:B1029" si="15">TEXT(C966,"MM")</f>
        <v>01</v>
      </c>
    </row>
    <row r="967" spans="2:2" x14ac:dyDescent="0.25">
      <c r="B967" t="str">
        <f t="shared" si="15"/>
        <v>01</v>
      </c>
    </row>
    <row r="968" spans="2:2" x14ac:dyDescent="0.25">
      <c r="B968" t="str">
        <f t="shared" si="15"/>
        <v>01</v>
      </c>
    </row>
    <row r="969" spans="2:2" x14ac:dyDescent="0.25">
      <c r="B969" t="str">
        <f t="shared" si="15"/>
        <v>01</v>
      </c>
    </row>
    <row r="970" spans="2:2" x14ac:dyDescent="0.25">
      <c r="B970" t="str">
        <f t="shared" si="15"/>
        <v>01</v>
      </c>
    </row>
    <row r="971" spans="2:2" x14ac:dyDescent="0.25">
      <c r="B971" t="str">
        <f t="shared" si="15"/>
        <v>01</v>
      </c>
    </row>
    <row r="972" spans="2:2" x14ac:dyDescent="0.25">
      <c r="B972" t="str">
        <f t="shared" si="15"/>
        <v>01</v>
      </c>
    </row>
    <row r="973" spans="2:2" x14ac:dyDescent="0.25">
      <c r="B973" t="str">
        <f t="shared" si="15"/>
        <v>01</v>
      </c>
    </row>
    <row r="974" spans="2:2" x14ac:dyDescent="0.25">
      <c r="B974" t="str">
        <f t="shared" si="15"/>
        <v>01</v>
      </c>
    </row>
    <row r="975" spans="2:2" x14ac:dyDescent="0.25">
      <c r="B975" t="str">
        <f t="shared" si="15"/>
        <v>01</v>
      </c>
    </row>
    <row r="976" spans="2:2" x14ac:dyDescent="0.25">
      <c r="B976" t="str">
        <f t="shared" si="15"/>
        <v>01</v>
      </c>
    </row>
    <row r="977" spans="2:2" x14ac:dyDescent="0.25">
      <c r="B977" t="str">
        <f t="shared" si="15"/>
        <v>01</v>
      </c>
    </row>
    <row r="978" spans="2:2" x14ac:dyDescent="0.25">
      <c r="B978" t="str">
        <f t="shared" si="15"/>
        <v>01</v>
      </c>
    </row>
    <row r="979" spans="2:2" x14ac:dyDescent="0.25">
      <c r="B979" t="str">
        <f t="shared" si="15"/>
        <v>01</v>
      </c>
    </row>
    <row r="980" spans="2:2" x14ac:dyDescent="0.25">
      <c r="B980" t="str">
        <f t="shared" si="15"/>
        <v>01</v>
      </c>
    </row>
    <row r="981" spans="2:2" x14ac:dyDescent="0.25">
      <c r="B981" t="str">
        <f t="shared" si="15"/>
        <v>01</v>
      </c>
    </row>
    <row r="982" spans="2:2" x14ac:dyDescent="0.25">
      <c r="B982" t="str">
        <f t="shared" si="15"/>
        <v>01</v>
      </c>
    </row>
    <row r="983" spans="2:2" x14ac:dyDescent="0.25">
      <c r="B983" t="str">
        <f t="shared" si="15"/>
        <v>01</v>
      </c>
    </row>
    <row r="984" spans="2:2" x14ac:dyDescent="0.25">
      <c r="B984" t="str">
        <f t="shared" si="15"/>
        <v>01</v>
      </c>
    </row>
    <row r="985" spans="2:2" x14ac:dyDescent="0.25">
      <c r="B985" t="str">
        <f t="shared" si="15"/>
        <v>01</v>
      </c>
    </row>
    <row r="986" spans="2:2" x14ac:dyDescent="0.25">
      <c r="B986" t="str">
        <f t="shared" si="15"/>
        <v>01</v>
      </c>
    </row>
    <row r="987" spans="2:2" x14ac:dyDescent="0.25">
      <c r="B987" t="str">
        <f t="shared" si="15"/>
        <v>01</v>
      </c>
    </row>
    <row r="988" spans="2:2" x14ac:dyDescent="0.25">
      <c r="B988" t="str">
        <f t="shared" si="15"/>
        <v>01</v>
      </c>
    </row>
    <row r="989" spans="2:2" x14ac:dyDescent="0.25">
      <c r="B989" t="str">
        <f t="shared" si="15"/>
        <v>01</v>
      </c>
    </row>
    <row r="990" spans="2:2" x14ac:dyDescent="0.25">
      <c r="B990" t="str">
        <f t="shared" si="15"/>
        <v>01</v>
      </c>
    </row>
    <row r="991" spans="2:2" x14ac:dyDescent="0.25">
      <c r="B991" t="str">
        <f t="shared" si="15"/>
        <v>01</v>
      </c>
    </row>
    <row r="992" spans="2:2" x14ac:dyDescent="0.25">
      <c r="B992" t="str">
        <f t="shared" si="15"/>
        <v>01</v>
      </c>
    </row>
    <row r="993" spans="2:2" x14ac:dyDescent="0.25">
      <c r="B993" t="str">
        <f t="shared" si="15"/>
        <v>01</v>
      </c>
    </row>
    <row r="994" spans="2:2" x14ac:dyDescent="0.25">
      <c r="B994" t="str">
        <f t="shared" si="15"/>
        <v>01</v>
      </c>
    </row>
    <row r="995" spans="2:2" x14ac:dyDescent="0.25">
      <c r="B995" t="str">
        <f t="shared" si="15"/>
        <v>01</v>
      </c>
    </row>
    <row r="996" spans="2:2" x14ac:dyDescent="0.25">
      <c r="B996" t="str">
        <f t="shared" si="15"/>
        <v>01</v>
      </c>
    </row>
    <row r="997" spans="2:2" x14ac:dyDescent="0.25">
      <c r="B997" t="str">
        <f t="shared" si="15"/>
        <v>01</v>
      </c>
    </row>
    <row r="998" spans="2:2" x14ac:dyDescent="0.25">
      <c r="B998" t="str">
        <f t="shared" si="15"/>
        <v>01</v>
      </c>
    </row>
    <row r="999" spans="2:2" x14ac:dyDescent="0.25">
      <c r="B999" t="str">
        <f t="shared" si="15"/>
        <v>01</v>
      </c>
    </row>
    <row r="1000" spans="2:2" x14ac:dyDescent="0.25">
      <c r="B1000" t="str">
        <f t="shared" si="15"/>
        <v>01</v>
      </c>
    </row>
    <row r="1001" spans="2:2" x14ac:dyDescent="0.25">
      <c r="B1001" t="str">
        <f t="shared" si="15"/>
        <v>01</v>
      </c>
    </row>
    <row r="1002" spans="2:2" x14ac:dyDescent="0.25">
      <c r="B1002" t="str">
        <f t="shared" si="15"/>
        <v>01</v>
      </c>
    </row>
    <row r="1003" spans="2:2" x14ac:dyDescent="0.25">
      <c r="B1003" t="str">
        <f t="shared" si="15"/>
        <v>01</v>
      </c>
    </row>
    <row r="1004" spans="2:2" x14ac:dyDescent="0.25">
      <c r="B1004" t="str">
        <f t="shared" si="15"/>
        <v>01</v>
      </c>
    </row>
    <row r="1005" spans="2:2" x14ac:dyDescent="0.25">
      <c r="B1005" t="str">
        <f t="shared" si="15"/>
        <v>01</v>
      </c>
    </row>
    <row r="1006" spans="2:2" x14ac:dyDescent="0.25">
      <c r="B1006" t="str">
        <f t="shared" si="15"/>
        <v>01</v>
      </c>
    </row>
    <row r="1007" spans="2:2" x14ac:dyDescent="0.25">
      <c r="B1007" t="str">
        <f t="shared" si="15"/>
        <v>01</v>
      </c>
    </row>
    <row r="1008" spans="2:2" x14ac:dyDescent="0.25">
      <c r="B1008" t="str">
        <f t="shared" si="15"/>
        <v>01</v>
      </c>
    </row>
    <row r="1009" spans="2:2" x14ac:dyDescent="0.25">
      <c r="B1009" t="str">
        <f t="shared" si="15"/>
        <v>01</v>
      </c>
    </row>
    <row r="1010" spans="2:2" x14ac:dyDescent="0.25">
      <c r="B1010" t="str">
        <f t="shared" si="15"/>
        <v>01</v>
      </c>
    </row>
    <row r="1011" spans="2:2" x14ac:dyDescent="0.25">
      <c r="B1011" t="str">
        <f t="shared" si="15"/>
        <v>01</v>
      </c>
    </row>
    <row r="1012" spans="2:2" x14ac:dyDescent="0.25">
      <c r="B1012" t="str">
        <f t="shared" si="15"/>
        <v>01</v>
      </c>
    </row>
    <row r="1013" spans="2:2" x14ac:dyDescent="0.25">
      <c r="B1013" t="str">
        <f t="shared" si="15"/>
        <v>01</v>
      </c>
    </row>
    <row r="1014" spans="2:2" x14ac:dyDescent="0.25">
      <c r="B1014" t="str">
        <f t="shared" si="15"/>
        <v>01</v>
      </c>
    </row>
    <row r="1015" spans="2:2" x14ac:dyDescent="0.25">
      <c r="B1015" t="str">
        <f t="shared" si="15"/>
        <v>01</v>
      </c>
    </row>
    <row r="1016" spans="2:2" x14ac:dyDescent="0.25">
      <c r="B1016" t="str">
        <f t="shared" si="15"/>
        <v>01</v>
      </c>
    </row>
    <row r="1017" spans="2:2" x14ac:dyDescent="0.25">
      <c r="B1017" t="str">
        <f t="shared" si="15"/>
        <v>01</v>
      </c>
    </row>
    <row r="1018" spans="2:2" x14ac:dyDescent="0.25">
      <c r="B1018" t="str">
        <f t="shared" si="15"/>
        <v>01</v>
      </c>
    </row>
    <row r="1019" spans="2:2" x14ac:dyDescent="0.25">
      <c r="B1019" t="str">
        <f t="shared" si="15"/>
        <v>01</v>
      </c>
    </row>
    <row r="1020" spans="2:2" x14ac:dyDescent="0.25">
      <c r="B1020" t="str">
        <f t="shared" si="15"/>
        <v>01</v>
      </c>
    </row>
    <row r="1021" spans="2:2" x14ac:dyDescent="0.25">
      <c r="B1021" t="str">
        <f t="shared" si="15"/>
        <v>01</v>
      </c>
    </row>
    <row r="1022" spans="2:2" x14ac:dyDescent="0.25">
      <c r="B1022" t="str">
        <f t="shared" si="15"/>
        <v>01</v>
      </c>
    </row>
    <row r="1023" spans="2:2" x14ac:dyDescent="0.25">
      <c r="B1023" t="str">
        <f t="shared" si="15"/>
        <v>01</v>
      </c>
    </row>
    <row r="1024" spans="2:2" x14ac:dyDescent="0.25">
      <c r="B1024" t="str">
        <f t="shared" si="15"/>
        <v>01</v>
      </c>
    </row>
    <row r="1025" spans="2:2" x14ac:dyDescent="0.25">
      <c r="B1025" t="str">
        <f t="shared" si="15"/>
        <v>01</v>
      </c>
    </row>
    <row r="1026" spans="2:2" x14ac:dyDescent="0.25">
      <c r="B1026" t="str">
        <f t="shared" si="15"/>
        <v>01</v>
      </c>
    </row>
    <row r="1027" spans="2:2" x14ac:dyDescent="0.25">
      <c r="B1027" t="str">
        <f t="shared" si="15"/>
        <v>01</v>
      </c>
    </row>
    <row r="1028" spans="2:2" x14ac:dyDescent="0.25">
      <c r="B1028" t="str">
        <f t="shared" si="15"/>
        <v>01</v>
      </c>
    </row>
    <row r="1029" spans="2:2" x14ac:dyDescent="0.25">
      <c r="B1029" t="str">
        <f t="shared" si="15"/>
        <v>01</v>
      </c>
    </row>
    <row r="1030" spans="2:2" x14ac:dyDescent="0.25">
      <c r="B1030" t="str">
        <f t="shared" ref="B1030:B1093" si="16">TEXT(C1030,"MM")</f>
        <v>01</v>
      </c>
    </row>
    <row r="1031" spans="2:2" x14ac:dyDescent="0.25">
      <c r="B1031" t="str">
        <f t="shared" si="16"/>
        <v>01</v>
      </c>
    </row>
    <row r="1032" spans="2:2" x14ac:dyDescent="0.25">
      <c r="B1032" t="str">
        <f t="shared" si="16"/>
        <v>01</v>
      </c>
    </row>
    <row r="1033" spans="2:2" x14ac:dyDescent="0.25">
      <c r="B1033" t="str">
        <f t="shared" si="16"/>
        <v>01</v>
      </c>
    </row>
    <row r="1034" spans="2:2" x14ac:dyDescent="0.25">
      <c r="B1034" t="str">
        <f t="shared" si="16"/>
        <v>01</v>
      </c>
    </row>
    <row r="1035" spans="2:2" x14ac:dyDescent="0.25">
      <c r="B1035" t="str">
        <f t="shared" si="16"/>
        <v>01</v>
      </c>
    </row>
    <row r="1036" spans="2:2" x14ac:dyDescent="0.25">
      <c r="B1036" t="str">
        <f t="shared" si="16"/>
        <v>01</v>
      </c>
    </row>
    <row r="1037" spans="2:2" x14ac:dyDescent="0.25">
      <c r="B1037" t="str">
        <f t="shared" si="16"/>
        <v>01</v>
      </c>
    </row>
    <row r="1038" spans="2:2" x14ac:dyDescent="0.25">
      <c r="B1038" t="str">
        <f t="shared" si="16"/>
        <v>01</v>
      </c>
    </row>
    <row r="1039" spans="2:2" x14ac:dyDescent="0.25">
      <c r="B1039" t="str">
        <f t="shared" si="16"/>
        <v>01</v>
      </c>
    </row>
    <row r="1040" spans="2:2" x14ac:dyDescent="0.25">
      <c r="B1040" t="str">
        <f t="shared" si="16"/>
        <v>01</v>
      </c>
    </row>
    <row r="1041" spans="2:2" x14ac:dyDescent="0.25">
      <c r="B1041" t="str">
        <f t="shared" si="16"/>
        <v>01</v>
      </c>
    </row>
    <row r="1042" spans="2:2" x14ac:dyDescent="0.25">
      <c r="B1042" t="str">
        <f t="shared" si="16"/>
        <v>01</v>
      </c>
    </row>
    <row r="1043" spans="2:2" x14ac:dyDescent="0.25">
      <c r="B1043" t="str">
        <f t="shared" si="16"/>
        <v>01</v>
      </c>
    </row>
    <row r="1044" spans="2:2" x14ac:dyDescent="0.25">
      <c r="B1044" t="str">
        <f t="shared" si="16"/>
        <v>01</v>
      </c>
    </row>
    <row r="1045" spans="2:2" x14ac:dyDescent="0.25">
      <c r="B1045" t="str">
        <f t="shared" si="16"/>
        <v>01</v>
      </c>
    </row>
    <row r="1046" spans="2:2" x14ac:dyDescent="0.25">
      <c r="B1046" t="str">
        <f t="shared" si="16"/>
        <v>01</v>
      </c>
    </row>
    <row r="1047" spans="2:2" x14ac:dyDescent="0.25">
      <c r="B1047" t="str">
        <f t="shared" si="16"/>
        <v>01</v>
      </c>
    </row>
    <row r="1048" spans="2:2" x14ac:dyDescent="0.25">
      <c r="B1048" t="str">
        <f t="shared" si="16"/>
        <v>01</v>
      </c>
    </row>
    <row r="1049" spans="2:2" x14ac:dyDescent="0.25">
      <c r="B1049" t="str">
        <f t="shared" si="16"/>
        <v>01</v>
      </c>
    </row>
    <row r="1050" spans="2:2" x14ac:dyDescent="0.25">
      <c r="B1050" t="str">
        <f t="shared" si="16"/>
        <v>01</v>
      </c>
    </row>
    <row r="1051" spans="2:2" x14ac:dyDescent="0.25">
      <c r="B1051" t="str">
        <f t="shared" si="16"/>
        <v>01</v>
      </c>
    </row>
    <row r="1052" spans="2:2" x14ac:dyDescent="0.25">
      <c r="B1052" t="str">
        <f t="shared" si="16"/>
        <v>01</v>
      </c>
    </row>
    <row r="1053" spans="2:2" x14ac:dyDescent="0.25">
      <c r="B1053" t="str">
        <f t="shared" si="16"/>
        <v>01</v>
      </c>
    </row>
    <row r="1054" spans="2:2" x14ac:dyDescent="0.25">
      <c r="B1054" t="str">
        <f t="shared" si="16"/>
        <v>01</v>
      </c>
    </row>
    <row r="1055" spans="2:2" x14ac:dyDescent="0.25">
      <c r="B1055" t="str">
        <f t="shared" si="16"/>
        <v>01</v>
      </c>
    </row>
    <row r="1056" spans="2:2" x14ac:dyDescent="0.25">
      <c r="B1056" t="str">
        <f t="shared" si="16"/>
        <v>01</v>
      </c>
    </row>
    <row r="1057" spans="2:2" x14ac:dyDescent="0.25">
      <c r="B1057" t="str">
        <f t="shared" si="16"/>
        <v>01</v>
      </c>
    </row>
    <row r="1058" spans="2:2" x14ac:dyDescent="0.25">
      <c r="B1058" t="str">
        <f t="shared" si="16"/>
        <v>01</v>
      </c>
    </row>
    <row r="1059" spans="2:2" x14ac:dyDescent="0.25">
      <c r="B1059" t="str">
        <f t="shared" si="16"/>
        <v>01</v>
      </c>
    </row>
    <row r="1060" spans="2:2" x14ac:dyDescent="0.25">
      <c r="B1060" t="str">
        <f t="shared" si="16"/>
        <v>01</v>
      </c>
    </row>
    <row r="1061" spans="2:2" x14ac:dyDescent="0.25">
      <c r="B1061" t="str">
        <f t="shared" si="16"/>
        <v>01</v>
      </c>
    </row>
    <row r="1062" spans="2:2" x14ac:dyDescent="0.25">
      <c r="B1062" t="str">
        <f t="shared" si="16"/>
        <v>01</v>
      </c>
    </row>
    <row r="1063" spans="2:2" x14ac:dyDescent="0.25">
      <c r="B1063" t="str">
        <f t="shared" si="16"/>
        <v>01</v>
      </c>
    </row>
    <row r="1064" spans="2:2" x14ac:dyDescent="0.25">
      <c r="B1064" t="str">
        <f t="shared" si="16"/>
        <v>01</v>
      </c>
    </row>
    <row r="1065" spans="2:2" x14ac:dyDescent="0.25">
      <c r="B1065" t="str">
        <f t="shared" si="16"/>
        <v>01</v>
      </c>
    </row>
    <row r="1066" spans="2:2" x14ac:dyDescent="0.25">
      <c r="B1066" t="str">
        <f t="shared" si="16"/>
        <v>01</v>
      </c>
    </row>
    <row r="1067" spans="2:2" x14ac:dyDescent="0.25">
      <c r="B1067" t="str">
        <f t="shared" si="16"/>
        <v>01</v>
      </c>
    </row>
    <row r="1068" spans="2:2" x14ac:dyDescent="0.25">
      <c r="B1068" t="str">
        <f t="shared" si="16"/>
        <v>01</v>
      </c>
    </row>
    <row r="1069" spans="2:2" x14ac:dyDescent="0.25">
      <c r="B1069" t="str">
        <f t="shared" si="16"/>
        <v>01</v>
      </c>
    </row>
    <row r="1070" spans="2:2" x14ac:dyDescent="0.25">
      <c r="B1070" t="str">
        <f t="shared" si="16"/>
        <v>01</v>
      </c>
    </row>
    <row r="1071" spans="2:2" x14ac:dyDescent="0.25">
      <c r="B1071" t="str">
        <f t="shared" si="16"/>
        <v>01</v>
      </c>
    </row>
    <row r="1072" spans="2:2" x14ac:dyDescent="0.25">
      <c r="B1072" t="str">
        <f t="shared" si="16"/>
        <v>01</v>
      </c>
    </row>
    <row r="1073" spans="2:2" x14ac:dyDescent="0.25">
      <c r="B1073" t="str">
        <f t="shared" si="16"/>
        <v>01</v>
      </c>
    </row>
    <row r="1074" spans="2:2" x14ac:dyDescent="0.25">
      <c r="B1074" t="str">
        <f t="shared" si="16"/>
        <v>01</v>
      </c>
    </row>
    <row r="1075" spans="2:2" x14ac:dyDescent="0.25">
      <c r="B1075" t="str">
        <f t="shared" si="16"/>
        <v>01</v>
      </c>
    </row>
    <row r="1076" spans="2:2" x14ac:dyDescent="0.25">
      <c r="B1076" t="str">
        <f t="shared" si="16"/>
        <v>01</v>
      </c>
    </row>
    <row r="1077" spans="2:2" x14ac:dyDescent="0.25">
      <c r="B1077" t="str">
        <f t="shared" si="16"/>
        <v>01</v>
      </c>
    </row>
    <row r="1078" spans="2:2" x14ac:dyDescent="0.25">
      <c r="B1078" t="str">
        <f t="shared" si="16"/>
        <v>01</v>
      </c>
    </row>
    <row r="1079" spans="2:2" x14ac:dyDescent="0.25">
      <c r="B1079" t="str">
        <f t="shared" si="16"/>
        <v>01</v>
      </c>
    </row>
    <row r="1080" spans="2:2" x14ac:dyDescent="0.25">
      <c r="B1080" t="str">
        <f t="shared" si="16"/>
        <v>01</v>
      </c>
    </row>
    <row r="1081" spans="2:2" x14ac:dyDescent="0.25">
      <c r="B1081" t="str">
        <f t="shared" si="16"/>
        <v>01</v>
      </c>
    </row>
    <row r="1082" spans="2:2" x14ac:dyDescent="0.25">
      <c r="B1082" t="str">
        <f t="shared" si="16"/>
        <v>01</v>
      </c>
    </row>
    <row r="1083" spans="2:2" x14ac:dyDescent="0.25">
      <c r="B1083" t="str">
        <f t="shared" si="16"/>
        <v>01</v>
      </c>
    </row>
    <row r="1084" spans="2:2" x14ac:dyDescent="0.25">
      <c r="B1084" t="str">
        <f t="shared" si="16"/>
        <v>01</v>
      </c>
    </row>
    <row r="1085" spans="2:2" x14ac:dyDescent="0.25">
      <c r="B1085" t="str">
        <f t="shared" si="16"/>
        <v>01</v>
      </c>
    </row>
    <row r="1086" spans="2:2" x14ac:dyDescent="0.25">
      <c r="B1086" t="str">
        <f t="shared" si="16"/>
        <v>01</v>
      </c>
    </row>
    <row r="1087" spans="2:2" x14ac:dyDescent="0.25">
      <c r="B1087" t="str">
        <f t="shared" si="16"/>
        <v>01</v>
      </c>
    </row>
    <row r="1088" spans="2:2" x14ac:dyDescent="0.25">
      <c r="B1088" t="str">
        <f t="shared" si="16"/>
        <v>01</v>
      </c>
    </row>
    <row r="1089" spans="2:2" x14ac:dyDescent="0.25">
      <c r="B1089" t="str">
        <f t="shared" si="16"/>
        <v>01</v>
      </c>
    </row>
    <row r="1090" spans="2:2" x14ac:dyDescent="0.25">
      <c r="B1090" t="str">
        <f t="shared" si="16"/>
        <v>01</v>
      </c>
    </row>
    <row r="1091" spans="2:2" x14ac:dyDescent="0.25">
      <c r="B1091" t="str">
        <f t="shared" si="16"/>
        <v>01</v>
      </c>
    </row>
    <row r="1092" spans="2:2" x14ac:dyDescent="0.25">
      <c r="B1092" t="str">
        <f t="shared" si="16"/>
        <v>01</v>
      </c>
    </row>
    <row r="1093" spans="2:2" x14ac:dyDescent="0.25">
      <c r="B1093" t="str">
        <f t="shared" si="16"/>
        <v>01</v>
      </c>
    </row>
    <row r="1094" spans="2:2" x14ac:dyDescent="0.25">
      <c r="B1094" t="str">
        <f t="shared" ref="B1094:B1157" si="17">TEXT(C1094,"MM")</f>
        <v>01</v>
      </c>
    </row>
    <row r="1095" spans="2:2" x14ac:dyDescent="0.25">
      <c r="B1095" t="str">
        <f t="shared" si="17"/>
        <v>01</v>
      </c>
    </row>
    <row r="1096" spans="2:2" x14ac:dyDescent="0.25">
      <c r="B1096" t="str">
        <f t="shared" si="17"/>
        <v>01</v>
      </c>
    </row>
    <row r="1097" spans="2:2" x14ac:dyDescent="0.25">
      <c r="B1097" t="str">
        <f t="shared" si="17"/>
        <v>01</v>
      </c>
    </row>
    <row r="1098" spans="2:2" x14ac:dyDescent="0.25">
      <c r="B1098" t="str">
        <f t="shared" si="17"/>
        <v>01</v>
      </c>
    </row>
    <row r="1099" spans="2:2" x14ac:dyDescent="0.25">
      <c r="B1099" t="str">
        <f t="shared" si="17"/>
        <v>01</v>
      </c>
    </row>
    <row r="1100" spans="2:2" x14ac:dyDescent="0.25">
      <c r="B1100" t="str">
        <f t="shared" si="17"/>
        <v>01</v>
      </c>
    </row>
    <row r="1101" spans="2:2" x14ac:dyDescent="0.25">
      <c r="B1101" t="str">
        <f t="shared" si="17"/>
        <v>01</v>
      </c>
    </row>
    <row r="1102" spans="2:2" x14ac:dyDescent="0.25">
      <c r="B1102" t="str">
        <f t="shared" si="17"/>
        <v>01</v>
      </c>
    </row>
    <row r="1103" spans="2:2" x14ac:dyDescent="0.25">
      <c r="B1103" t="str">
        <f t="shared" si="17"/>
        <v>01</v>
      </c>
    </row>
    <row r="1104" spans="2:2" x14ac:dyDescent="0.25">
      <c r="B1104" t="str">
        <f t="shared" si="17"/>
        <v>01</v>
      </c>
    </row>
    <row r="1105" spans="2:2" x14ac:dyDescent="0.25">
      <c r="B1105" t="str">
        <f t="shared" si="17"/>
        <v>01</v>
      </c>
    </row>
    <row r="1106" spans="2:2" x14ac:dyDescent="0.25">
      <c r="B1106" t="str">
        <f t="shared" si="17"/>
        <v>01</v>
      </c>
    </row>
    <row r="1107" spans="2:2" x14ac:dyDescent="0.25">
      <c r="B1107" t="str">
        <f t="shared" si="17"/>
        <v>01</v>
      </c>
    </row>
    <row r="1108" spans="2:2" x14ac:dyDescent="0.25">
      <c r="B1108" t="str">
        <f t="shared" si="17"/>
        <v>01</v>
      </c>
    </row>
    <row r="1109" spans="2:2" x14ac:dyDescent="0.25">
      <c r="B1109" t="str">
        <f t="shared" si="17"/>
        <v>01</v>
      </c>
    </row>
    <row r="1110" spans="2:2" x14ac:dyDescent="0.25">
      <c r="B1110" t="str">
        <f t="shared" si="17"/>
        <v>01</v>
      </c>
    </row>
    <row r="1111" spans="2:2" x14ac:dyDescent="0.25">
      <c r="B1111" t="str">
        <f t="shared" si="17"/>
        <v>01</v>
      </c>
    </row>
    <row r="1112" spans="2:2" x14ac:dyDescent="0.25">
      <c r="B1112" t="str">
        <f t="shared" si="17"/>
        <v>01</v>
      </c>
    </row>
    <row r="1113" spans="2:2" x14ac:dyDescent="0.25">
      <c r="B1113" t="str">
        <f t="shared" si="17"/>
        <v>01</v>
      </c>
    </row>
    <row r="1114" spans="2:2" x14ac:dyDescent="0.25">
      <c r="B1114" t="str">
        <f t="shared" si="17"/>
        <v>01</v>
      </c>
    </row>
    <row r="1115" spans="2:2" x14ac:dyDescent="0.25">
      <c r="B1115" t="str">
        <f t="shared" si="17"/>
        <v>01</v>
      </c>
    </row>
    <row r="1116" spans="2:2" x14ac:dyDescent="0.25">
      <c r="B1116" t="str">
        <f t="shared" si="17"/>
        <v>01</v>
      </c>
    </row>
    <row r="1117" spans="2:2" x14ac:dyDescent="0.25">
      <c r="B1117" t="str">
        <f t="shared" si="17"/>
        <v>01</v>
      </c>
    </row>
    <row r="1118" spans="2:2" x14ac:dyDescent="0.25">
      <c r="B1118" t="str">
        <f t="shared" si="17"/>
        <v>01</v>
      </c>
    </row>
    <row r="1119" spans="2:2" x14ac:dyDescent="0.25">
      <c r="B1119" t="str">
        <f t="shared" si="17"/>
        <v>01</v>
      </c>
    </row>
    <row r="1120" spans="2:2" x14ac:dyDescent="0.25">
      <c r="B1120" t="str">
        <f t="shared" si="17"/>
        <v>01</v>
      </c>
    </row>
    <row r="1121" spans="2:2" x14ac:dyDescent="0.25">
      <c r="B1121" t="str">
        <f t="shared" si="17"/>
        <v>01</v>
      </c>
    </row>
    <row r="1122" spans="2:2" x14ac:dyDescent="0.25">
      <c r="B1122" t="str">
        <f t="shared" si="17"/>
        <v>01</v>
      </c>
    </row>
    <row r="1123" spans="2:2" x14ac:dyDescent="0.25">
      <c r="B1123" t="str">
        <f t="shared" si="17"/>
        <v>01</v>
      </c>
    </row>
    <row r="1124" spans="2:2" x14ac:dyDescent="0.25">
      <c r="B1124" t="str">
        <f t="shared" si="17"/>
        <v>01</v>
      </c>
    </row>
    <row r="1125" spans="2:2" x14ac:dyDescent="0.25">
      <c r="B1125" t="str">
        <f t="shared" si="17"/>
        <v>01</v>
      </c>
    </row>
    <row r="1126" spans="2:2" x14ac:dyDescent="0.25">
      <c r="B1126" t="str">
        <f t="shared" si="17"/>
        <v>01</v>
      </c>
    </row>
    <row r="1127" spans="2:2" x14ac:dyDescent="0.25">
      <c r="B1127" t="str">
        <f t="shared" si="17"/>
        <v>01</v>
      </c>
    </row>
    <row r="1128" spans="2:2" x14ac:dyDescent="0.25">
      <c r="B1128" t="str">
        <f t="shared" si="17"/>
        <v>01</v>
      </c>
    </row>
    <row r="1129" spans="2:2" x14ac:dyDescent="0.25">
      <c r="B1129" t="str">
        <f t="shared" si="17"/>
        <v>01</v>
      </c>
    </row>
    <row r="1130" spans="2:2" x14ac:dyDescent="0.25">
      <c r="B1130" t="str">
        <f t="shared" si="17"/>
        <v>01</v>
      </c>
    </row>
    <row r="1131" spans="2:2" x14ac:dyDescent="0.25">
      <c r="B1131" t="str">
        <f t="shared" si="17"/>
        <v>01</v>
      </c>
    </row>
    <row r="1132" spans="2:2" x14ac:dyDescent="0.25">
      <c r="B1132" t="str">
        <f t="shared" si="17"/>
        <v>01</v>
      </c>
    </row>
    <row r="1133" spans="2:2" x14ac:dyDescent="0.25">
      <c r="B1133" t="str">
        <f t="shared" si="17"/>
        <v>01</v>
      </c>
    </row>
    <row r="1134" spans="2:2" x14ac:dyDescent="0.25">
      <c r="B1134" t="str">
        <f t="shared" si="17"/>
        <v>01</v>
      </c>
    </row>
    <row r="1135" spans="2:2" x14ac:dyDescent="0.25">
      <c r="B1135" t="str">
        <f t="shared" si="17"/>
        <v>01</v>
      </c>
    </row>
    <row r="1136" spans="2:2" x14ac:dyDescent="0.25">
      <c r="B1136" t="str">
        <f t="shared" si="17"/>
        <v>01</v>
      </c>
    </row>
    <row r="1137" spans="2:2" x14ac:dyDescent="0.25">
      <c r="B1137" t="str">
        <f t="shared" si="17"/>
        <v>01</v>
      </c>
    </row>
    <row r="1138" spans="2:2" x14ac:dyDescent="0.25">
      <c r="B1138" t="str">
        <f t="shared" si="17"/>
        <v>01</v>
      </c>
    </row>
    <row r="1139" spans="2:2" x14ac:dyDescent="0.25">
      <c r="B1139" t="str">
        <f t="shared" si="17"/>
        <v>01</v>
      </c>
    </row>
    <row r="1140" spans="2:2" x14ac:dyDescent="0.25">
      <c r="B1140" t="str">
        <f t="shared" si="17"/>
        <v>01</v>
      </c>
    </row>
    <row r="1141" spans="2:2" x14ac:dyDescent="0.25">
      <c r="B1141" t="str">
        <f t="shared" si="17"/>
        <v>01</v>
      </c>
    </row>
    <row r="1142" spans="2:2" x14ac:dyDescent="0.25">
      <c r="B1142" t="str">
        <f t="shared" si="17"/>
        <v>01</v>
      </c>
    </row>
    <row r="1143" spans="2:2" x14ac:dyDescent="0.25">
      <c r="B1143" t="str">
        <f t="shared" si="17"/>
        <v>01</v>
      </c>
    </row>
    <row r="1144" spans="2:2" x14ac:dyDescent="0.25">
      <c r="B1144" t="str">
        <f t="shared" si="17"/>
        <v>01</v>
      </c>
    </row>
    <row r="1145" spans="2:2" x14ac:dyDescent="0.25">
      <c r="B1145" t="str">
        <f t="shared" si="17"/>
        <v>01</v>
      </c>
    </row>
    <row r="1146" spans="2:2" x14ac:dyDescent="0.25">
      <c r="B1146" t="str">
        <f t="shared" si="17"/>
        <v>01</v>
      </c>
    </row>
    <row r="1147" spans="2:2" x14ac:dyDescent="0.25">
      <c r="B1147" t="str">
        <f t="shared" si="17"/>
        <v>01</v>
      </c>
    </row>
    <row r="1148" spans="2:2" x14ac:dyDescent="0.25">
      <c r="B1148" t="str">
        <f t="shared" si="17"/>
        <v>01</v>
      </c>
    </row>
    <row r="1149" spans="2:2" x14ac:dyDescent="0.25">
      <c r="B1149" t="str">
        <f t="shared" si="17"/>
        <v>01</v>
      </c>
    </row>
    <row r="1150" spans="2:2" x14ac:dyDescent="0.25">
      <c r="B1150" t="str">
        <f t="shared" si="17"/>
        <v>01</v>
      </c>
    </row>
    <row r="1151" spans="2:2" x14ac:dyDescent="0.25">
      <c r="B1151" t="str">
        <f t="shared" si="17"/>
        <v>01</v>
      </c>
    </row>
    <row r="1152" spans="2:2" x14ac:dyDescent="0.25">
      <c r="B1152" t="str">
        <f t="shared" si="17"/>
        <v>01</v>
      </c>
    </row>
    <row r="1153" spans="2:2" x14ac:dyDescent="0.25">
      <c r="B1153" t="str">
        <f t="shared" si="17"/>
        <v>01</v>
      </c>
    </row>
    <row r="1154" spans="2:2" x14ac:dyDescent="0.25">
      <c r="B1154" t="str">
        <f t="shared" si="17"/>
        <v>01</v>
      </c>
    </row>
    <row r="1155" spans="2:2" x14ac:dyDescent="0.25">
      <c r="B1155" t="str">
        <f t="shared" si="17"/>
        <v>01</v>
      </c>
    </row>
    <row r="1156" spans="2:2" x14ac:dyDescent="0.25">
      <c r="B1156" t="str">
        <f t="shared" si="17"/>
        <v>01</v>
      </c>
    </row>
    <row r="1157" spans="2:2" x14ac:dyDescent="0.25">
      <c r="B1157" t="str">
        <f t="shared" si="17"/>
        <v>01</v>
      </c>
    </row>
    <row r="1158" spans="2:2" x14ac:dyDescent="0.25">
      <c r="B1158" t="str">
        <f t="shared" ref="B1158:B1221" si="18">TEXT(C1158,"MM")</f>
        <v>01</v>
      </c>
    </row>
    <row r="1159" spans="2:2" x14ac:dyDescent="0.25">
      <c r="B1159" t="str">
        <f t="shared" si="18"/>
        <v>01</v>
      </c>
    </row>
    <row r="1160" spans="2:2" x14ac:dyDescent="0.25">
      <c r="B1160" t="str">
        <f t="shared" si="18"/>
        <v>01</v>
      </c>
    </row>
    <row r="1161" spans="2:2" x14ac:dyDescent="0.25">
      <c r="B1161" t="str">
        <f t="shared" si="18"/>
        <v>01</v>
      </c>
    </row>
    <row r="1162" spans="2:2" x14ac:dyDescent="0.25">
      <c r="B1162" t="str">
        <f t="shared" si="18"/>
        <v>01</v>
      </c>
    </row>
    <row r="1163" spans="2:2" x14ac:dyDescent="0.25">
      <c r="B1163" t="str">
        <f t="shared" si="18"/>
        <v>01</v>
      </c>
    </row>
    <row r="1164" spans="2:2" x14ac:dyDescent="0.25">
      <c r="B1164" t="str">
        <f t="shared" si="18"/>
        <v>01</v>
      </c>
    </row>
    <row r="1165" spans="2:2" x14ac:dyDescent="0.25">
      <c r="B1165" t="str">
        <f t="shared" si="18"/>
        <v>01</v>
      </c>
    </row>
    <row r="1166" spans="2:2" x14ac:dyDescent="0.25">
      <c r="B1166" t="str">
        <f t="shared" si="18"/>
        <v>01</v>
      </c>
    </row>
    <row r="1167" spans="2:2" x14ac:dyDescent="0.25">
      <c r="B1167" t="str">
        <f t="shared" si="18"/>
        <v>01</v>
      </c>
    </row>
    <row r="1168" spans="2:2" x14ac:dyDescent="0.25">
      <c r="B1168" t="str">
        <f t="shared" si="18"/>
        <v>01</v>
      </c>
    </row>
    <row r="1169" spans="2:2" x14ac:dyDescent="0.25">
      <c r="B1169" t="str">
        <f t="shared" si="18"/>
        <v>01</v>
      </c>
    </row>
    <row r="1170" spans="2:2" x14ac:dyDescent="0.25">
      <c r="B1170" t="str">
        <f t="shared" si="18"/>
        <v>01</v>
      </c>
    </row>
    <row r="1171" spans="2:2" x14ac:dyDescent="0.25">
      <c r="B1171" t="str">
        <f t="shared" si="18"/>
        <v>01</v>
      </c>
    </row>
    <row r="1172" spans="2:2" x14ac:dyDescent="0.25">
      <c r="B1172" t="str">
        <f t="shared" si="18"/>
        <v>01</v>
      </c>
    </row>
    <row r="1173" spans="2:2" x14ac:dyDescent="0.25">
      <c r="B1173" t="str">
        <f t="shared" si="18"/>
        <v>01</v>
      </c>
    </row>
    <row r="1174" spans="2:2" x14ac:dyDescent="0.25">
      <c r="B1174" t="str">
        <f t="shared" si="18"/>
        <v>01</v>
      </c>
    </row>
    <row r="1175" spans="2:2" x14ac:dyDescent="0.25">
      <c r="B1175" t="str">
        <f t="shared" si="18"/>
        <v>01</v>
      </c>
    </row>
    <row r="1176" spans="2:2" x14ac:dyDescent="0.25">
      <c r="B1176" t="str">
        <f t="shared" si="18"/>
        <v>01</v>
      </c>
    </row>
    <row r="1177" spans="2:2" x14ac:dyDescent="0.25">
      <c r="B1177" t="str">
        <f t="shared" si="18"/>
        <v>01</v>
      </c>
    </row>
    <row r="1178" spans="2:2" x14ac:dyDescent="0.25">
      <c r="B1178" t="str">
        <f t="shared" si="18"/>
        <v>01</v>
      </c>
    </row>
    <row r="1179" spans="2:2" x14ac:dyDescent="0.25">
      <c r="B1179" t="str">
        <f t="shared" si="18"/>
        <v>01</v>
      </c>
    </row>
    <row r="1180" spans="2:2" x14ac:dyDescent="0.25">
      <c r="B1180" t="str">
        <f t="shared" si="18"/>
        <v>01</v>
      </c>
    </row>
    <row r="1181" spans="2:2" x14ac:dyDescent="0.25">
      <c r="B1181" t="str">
        <f t="shared" si="18"/>
        <v>01</v>
      </c>
    </row>
    <row r="1182" spans="2:2" x14ac:dyDescent="0.25">
      <c r="B1182" t="str">
        <f t="shared" si="18"/>
        <v>01</v>
      </c>
    </row>
    <row r="1183" spans="2:2" x14ac:dyDescent="0.25">
      <c r="B1183" t="str">
        <f t="shared" si="18"/>
        <v>01</v>
      </c>
    </row>
    <row r="1184" spans="2:2" x14ac:dyDescent="0.25">
      <c r="B1184" t="str">
        <f t="shared" si="18"/>
        <v>01</v>
      </c>
    </row>
    <row r="1185" spans="2:2" x14ac:dyDescent="0.25">
      <c r="B1185" t="str">
        <f t="shared" si="18"/>
        <v>01</v>
      </c>
    </row>
    <row r="1186" spans="2:2" x14ac:dyDescent="0.25">
      <c r="B1186" t="str">
        <f t="shared" si="18"/>
        <v>01</v>
      </c>
    </row>
    <row r="1187" spans="2:2" x14ac:dyDescent="0.25">
      <c r="B1187" t="str">
        <f t="shared" si="18"/>
        <v>01</v>
      </c>
    </row>
    <row r="1188" spans="2:2" x14ac:dyDescent="0.25">
      <c r="B1188" t="str">
        <f t="shared" si="18"/>
        <v>01</v>
      </c>
    </row>
    <row r="1189" spans="2:2" x14ac:dyDescent="0.25">
      <c r="B1189" t="str">
        <f t="shared" si="18"/>
        <v>01</v>
      </c>
    </row>
    <row r="1190" spans="2:2" x14ac:dyDescent="0.25">
      <c r="B1190" t="str">
        <f t="shared" si="18"/>
        <v>01</v>
      </c>
    </row>
    <row r="1191" spans="2:2" x14ac:dyDescent="0.25">
      <c r="B1191" t="str">
        <f t="shared" si="18"/>
        <v>01</v>
      </c>
    </row>
    <row r="1192" spans="2:2" x14ac:dyDescent="0.25">
      <c r="B1192" t="str">
        <f t="shared" si="18"/>
        <v>01</v>
      </c>
    </row>
    <row r="1193" spans="2:2" x14ac:dyDescent="0.25">
      <c r="B1193" t="str">
        <f t="shared" si="18"/>
        <v>01</v>
      </c>
    </row>
    <row r="1194" spans="2:2" x14ac:dyDescent="0.25">
      <c r="B1194" t="str">
        <f t="shared" si="18"/>
        <v>01</v>
      </c>
    </row>
    <row r="1195" spans="2:2" x14ac:dyDescent="0.25">
      <c r="B1195" t="str">
        <f t="shared" si="18"/>
        <v>01</v>
      </c>
    </row>
    <row r="1196" spans="2:2" x14ac:dyDescent="0.25">
      <c r="B1196" t="str">
        <f t="shared" si="18"/>
        <v>01</v>
      </c>
    </row>
    <row r="1197" spans="2:2" x14ac:dyDescent="0.25">
      <c r="B1197" t="str">
        <f t="shared" si="18"/>
        <v>01</v>
      </c>
    </row>
    <row r="1198" spans="2:2" x14ac:dyDescent="0.25">
      <c r="B1198" t="str">
        <f t="shared" si="18"/>
        <v>01</v>
      </c>
    </row>
    <row r="1199" spans="2:2" x14ac:dyDescent="0.25">
      <c r="B1199" t="str">
        <f t="shared" si="18"/>
        <v>01</v>
      </c>
    </row>
    <row r="1200" spans="2:2" x14ac:dyDescent="0.25">
      <c r="B1200" t="str">
        <f t="shared" si="18"/>
        <v>01</v>
      </c>
    </row>
    <row r="1201" spans="2:2" x14ac:dyDescent="0.25">
      <c r="B1201" t="str">
        <f t="shared" si="18"/>
        <v>01</v>
      </c>
    </row>
    <row r="1202" spans="2:2" x14ac:dyDescent="0.25">
      <c r="B1202" t="str">
        <f t="shared" si="18"/>
        <v>01</v>
      </c>
    </row>
    <row r="1203" spans="2:2" x14ac:dyDescent="0.25">
      <c r="B1203" t="str">
        <f t="shared" si="18"/>
        <v>01</v>
      </c>
    </row>
    <row r="1204" spans="2:2" x14ac:dyDescent="0.25">
      <c r="B1204" t="str">
        <f t="shared" si="18"/>
        <v>01</v>
      </c>
    </row>
    <row r="1205" spans="2:2" x14ac:dyDescent="0.25">
      <c r="B1205" t="str">
        <f t="shared" si="18"/>
        <v>01</v>
      </c>
    </row>
    <row r="1206" spans="2:2" x14ac:dyDescent="0.25">
      <c r="B1206" t="str">
        <f t="shared" si="18"/>
        <v>01</v>
      </c>
    </row>
    <row r="1207" spans="2:2" x14ac:dyDescent="0.25">
      <c r="B1207" t="str">
        <f t="shared" si="18"/>
        <v>01</v>
      </c>
    </row>
    <row r="1208" spans="2:2" x14ac:dyDescent="0.25">
      <c r="B1208" t="str">
        <f t="shared" si="18"/>
        <v>01</v>
      </c>
    </row>
    <row r="1209" spans="2:2" x14ac:dyDescent="0.25">
      <c r="B1209" t="str">
        <f t="shared" si="18"/>
        <v>01</v>
      </c>
    </row>
    <row r="1210" spans="2:2" x14ac:dyDescent="0.25">
      <c r="B1210" t="str">
        <f t="shared" si="18"/>
        <v>01</v>
      </c>
    </row>
    <row r="1211" spans="2:2" x14ac:dyDescent="0.25">
      <c r="B1211" t="str">
        <f t="shared" si="18"/>
        <v>01</v>
      </c>
    </row>
    <row r="1212" spans="2:2" x14ac:dyDescent="0.25">
      <c r="B1212" t="str">
        <f t="shared" si="18"/>
        <v>01</v>
      </c>
    </row>
    <row r="1213" spans="2:2" x14ac:dyDescent="0.25">
      <c r="B1213" t="str">
        <f t="shared" si="18"/>
        <v>01</v>
      </c>
    </row>
    <row r="1214" spans="2:2" x14ac:dyDescent="0.25">
      <c r="B1214" t="str">
        <f t="shared" si="18"/>
        <v>01</v>
      </c>
    </row>
    <row r="1215" spans="2:2" x14ac:dyDescent="0.25">
      <c r="B1215" t="str">
        <f t="shared" si="18"/>
        <v>01</v>
      </c>
    </row>
    <row r="1216" spans="2:2" x14ac:dyDescent="0.25">
      <c r="B1216" t="str">
        <f t="shared" si="18"/>
        <v>01</v>
      </c>
    </row>
    <row r="1217" spans="2:2" x14ac:dyDescent="0.25">
      <c r="B1217" t="str">
        <f t="shared" si="18"/>
        <v>01</v>
      </c>
    </row>
    <row r="1218" spans="2:2" x14ac:dyDescent="0.25">
      <c r="B1218" t="str">
        <f t="shared" si="18"/>
        <v>01</v>
      </c>
    </row>
    <row r="1219" spans="2:2" x14ac:dyDescent="0.25">
      <c r="B1219" t="str">
        <f t="shared" si="18"/>
        <v>01</v>
      </c>
    </row>
    <row r="1220" spans="2:2" x14ac:dyDescent="0.25">
      <c r="B1220" t="str">
        <f t="shared" si="18"/>
        <v>01</v>
      </c>
    </row>
    <row r="1221" spans="2:2" x14ac:dyDescent="0.25">
      <c r="B1221" t="str">
        <f t="shared" si="18"/>
        <v>01</v>
      </c>
    </row>
    <row r="1222" spans="2:2" x14ac:dyDescent="0.25">
      <c r="B1222" t="str">
        <f t="shared" ref="B1222:B1285" si="19">TEXT(C1222,"MM")</f>
        <v>01</v>
      </c>
    </row>
    <row r="1223" spans="2:2" x14ac:dyDescent="0.25">
      <c r="B1223" t="str">
        <f t="shared" si="19"/>
        <v>01</v>
      </c>
    </row>
    <row r="1224" spans="2:2" x14ac:dyDescent="0.25">
      <c r="B1224" t="str">
        <f t="shared" si="19"/>
        <v>01</v>
      </c>
    </row>
    <row r="1225" spans="2:2" x14ac:dyDescent="0.25">
      <c r="B1225" t="str">
        <f t="shared" si="19"/>
        <v>01</v>
      </c>
    </row>
    <row r="1226" spans="2:2" x14ac:dyDescent="0.25">
      <c r="B1226" t="str">
        <f t="shared" si="19"/>
        <v>01</v>
      </c>
    </row>
    <row r="1227" spans="2:2" x14ac:dyDescent="0.25">
      <c r="B1227" t="str">
        <f t="shared" si="19"/>
        <v>01</v>
      </c>
    </row>
    <row r="1228" spans="2:2" x14ac:dyDescent="0.25">
      <c r="B1228" t="str">
        <f t="shared" si="19"/>
        <v>01</v>
      </c>
    </row>
    <row r="1229" spans="2:2" x14ac:dyDescent="0.25">
      <c r="B1229" t="str">
        <f t="shared" si="19"/>
        <v>01</v>
      </c>
    </row>
    <row r="1230" spans="2:2" x14ac:dyDescent="0.25">
      <c r="B1230" t="str">
        <f t="shared" si="19"/>
        <v>01</v>
      </c>
    </row>
    <row r="1231" spans="2:2" x14ac:dyDescent="0.25">
      <c r="B1231" t="str">
        <f t="shared" si="19"/>
        <v>01</v>
      </c>
    </row>
    <row r="1232" spans="2:2" x14ac:dyDescent="0.25">
      <c r="B1232" t="str">
        <f t="shared" si="19"/>
        <v>01</v>
      </c>
    </row>
    <row r="1233" spans="2:2" x14ac:dyDescent="0.25">
      <c r="B1233" t="str">
        <f t="shared" si="19"/>
        <v>01</v>
      </c>
    </row>
    <row r="1234" spans="2:2" x14ac:dyDescent="0.25">
      <c r="B1234" t="str">
        <f t="shared" si="19"/>
        <v>01</v>
      </c>
    </row>
    <row r="1235" spans="2:2" x14ac:dyDescent="0.25">
      <c r="B1235" t="str">
        <f t="shared" si="19"/>
        <v>01</v>
      </c>
    </row>
    <row r="1236" spans="2:2" x14ac:dyDescent="0.25">
      <c r="B1236" t="str">
        <f t="shared" si="19"/>
        <v>01</v>
      </c>
    </row>
    <row r="1237" spans="2:2" x14ac:dyDescent="0.25">
      <c r="B1237" t="str">
        <f t="shared" si="19"/>
        <v>01</v>
      </c>
    </row>
    <row r="1238" spans="2:2" x14ac:dyDescent="0.25">
      <c r="B1238" t="str">
        <f t="shared" si="19"/>
        <v>01</v>
      </c>
    </row>
    <row r="1239" spans="2:2" x14ac:dyDescent="0.25">
      <c r="B1239" t="str">
        <f t="shared" si="19"/>
        <v>01</v>
      </c>
    </row>
    <row r="1240" spans="2:2" x14ac:dyDescent="0.25">
      <c r="B1240" t="str">
        <f t="shared" si="19"/>
        <v>01</v>
      </c>
    </row>
    <row r="1241" spans="2:2" x14ac:dyDescent="0.25">
      <c r="B1241" t="str">
        <f t="shared" si="19"/>
        <v>01</v>
      </c>
    </row>
    <row r="1242" spans="2:2" x14ac:dyDescent="0.25">
      <c r="B1242" t="str">
        <f t="shared" si="19"/>
        <v>01</v>
      </c>
    </row>
    <row r="1243" spans="2:2" x14ac:dyDescent="0.25">
      <c r="B1243" t="str">
        <f t="shared" si="19"/>
        <v>01</v>
      </c>
    </row>
    <row r="1244" spans="2:2" x14ac:dyDescent="0.25">
      <c r="B1244" t="str">
        <f t="shared" si="19"/>
        <v>01</v>
      </c>
    </row>
    <row r="1245" spans="2:2" x14ac:dyDescent="0.25">
      <c r="B1245" t="str">
        <f t="shared" si="19"/>
        <v>01</v>
      </c>
    </row>
    <row r="1246" spans="2:2" x14ac:dyDescent="0.25">
      <c r="B1246" t="str">
        <f t="shared" si="19"/>
        <v>01</v>
      </c>
    </row>
    <row r="1247" spans="2:2" x14ac:dyDescent="0.25">
      <c r="B1247" t="str">
        <f t="shared" si="19"/>
        <v>01</v>
      </c>
    </row>
    <row r="1248" spans="2:2" x14ac:dyDescent="0.25">
      <c r="B1248" t="str">
        <f t="shared" si="19"/>
        <v>01</v>
      </c>
    </row>
    <row r="1249" spans="2:2" x14ac:dyDescent="0.25">
      <c r="B1249" t="str">
        <f t="shared" si="19"/>
        <v>01</v>
      </c>
    </row>
    <row r="1250" spans="2:2" x14ac:dyDescent="0.25">
      <c r="B1250" t="str">
        <f t="shared" si="19"/>
        <v>01</v>
      </c>
    </row>
    <row r="1251" spans="2:2" x14ac:dyDescent="0.25">
      <c r="B1251" t="str">
        <f t="shared" si="19"/>
        <v>01</v>
      </c>
    </row>
    <row r="1252" spans="2:2" x14ac:dyDescent="0.25">
      <c r="B1252" t="str">
        <f t="shared" si="19"/>
        <v>01</v>
      </c>
    </row>
    <row r="1253" spans="2:2" x14ac:dyDescent="0.25">
      <c r="B1253" t="str">
        <f t="shared" si="19"/>
        <v>01</v>
      </c>
    </row>
    <row r="1254" spans="2:2" x14ac:dyDescent="0.25">
      <c r="B1254" t="str">
        <f t="shared" si="19"/>
        <v>01</v>
      </c>
    </row>
    <row r="1255" spans="2:2" x14ac:dyDescent="0.25">
      <c r="B1255" t="str">
        <f t="shared" si="19"/>
        <v>01</v>
      </c>
    </row>
    <row r="1256" spans="2:2" x14ac:dyDescent="0.25">
      <c r="B1256" t="str">
        <f t="shared" si="19"/>
        <v>01</v>
      </c>
    </row>
    <row r="1257" spans="2:2" x14ac:dyDescent="0.25">
      <c r="B1257" t="str">
        <f t="shared" si="19"/>
        <v>01</v>
      </c>
    </row>
    <row r="1258" spans="2:2" x14ac:dyDescent="0.25">
      <c r="B1258" t="str">
        <f t="shared" si="19"/>
        <v>01</v>
      </c>
    </row>
    <row r="1259" spans="2:2" x14ac:dyDescent="0.25">
      <c r="B1259" t="str">
        <f t="shared" si="19"/>
        <v>01</v>
      </c>
    </row>
    <row r="1260" spans="2:2" x14ac:dyDescent="0.25">
      <c r="B1260" t="str">
        <f t="shared" si="19"/>
        <v>01</v>
      </c>
    </row>
    <row r="1261" spans="2:2" x14ac:dyDescent="0.25">
      <c r="B1261" t="str">
        <f t="shared" si="19"/>
        <v>01</v>
      </c>
    </row>
    <row r="1262" spans="2:2" x14ac:dyDescent="0.25">
      <c r="B1262" t="str">
        <f t="shared" si="19"/>
        <v>01</v>
      </c>
    </row>
    <row r="1263" spans="2:2" x14ac:dyDescent="0.25">
      <c r="B1263" t="str">
        <f t="shared" si="19"/>
        <v>01</v>
      </c>
    </row>
    <row r="1264" spans="2:2" x14ac:dyDescent="0.25">
      <c r="B1264" t="str">
        <f t="shared" si="19"/>
        <v>01</v>
      </c>
    </row>
    <row r="1265" spans="2:2" x14ac:dyDescent="0.25">
      <c r="B1265" t="str">
        <f t="shared" si="19"/>
        <v>01</v>
      </c>
    </row>
    <row r="1266" spans="2:2" x14ac:dyDescent="0.25">
      <c r="B1266" t="str">
        <f t="shared" si="19"/>
        <v>01</v>
      </c>
    </row>
    <row r="1267" spans="2:2" x14ac:dyDescent="0.25">
      <c r="B1267" t="str">
        <f t="shared" si="19"/>
        <v>01</v>
      </c>
    </row>
    <row r="1268" spans="2:2" x14ac:dyDescent="0.25">
      <c r="B1268" t="str">
        <f t="shared" si="19"/>
        <v>01</v>
      </c>
    </row>
    <row r="1269" spans="2:2" x14ac:dyDescent="0.25">
      <c r="B1269" t="str">
        <f t="shared" si="19"/>
        <v>01</v>
      </c>
    </row>
    <row r="1270" spans="2:2" x14ac:dyDescent="0.25">
      <c r="B1270" t="str">
        <f t="shared" si="19"/>
        <v>01</v>
      </c>
    </row>
    <row r="1271" spans="2:2" x14ac:dyDescent="0.25">
      <c r="B1271" t="str">
        <f t="shared" si="19"/>
        <v>01</v>
      </c>
    </row>
    <row r="1272" spans="2:2" x14ac:dyDescent="0.25">
      <c r="B1272" t="str">
        <f t="shared" si="19"/>
        <v>01</v>
      </c>
    </row>
    <row r="1273" spans="2:2" x14ac:dyDescent="0.25">
      <c r="B1273" t="str">
        <f t="shared" si="19"/>
        <v>01</v>
      </c>
    </row>
    <row r="1274" spans="2:2" x14ac:dyDescent="0.25">
      <c r="B1274" t="str">
        <f t="shared" si="19"/>
        <v>01</v>
      </c>
    </row>
    <row r="1275" spans="2:2" x14ac:dyDescent="0.25">
      <c r="B1275" t="str">
        <f t="shared" si="19"/>
        <v>01</v>
      </c>
    </row>
    <row r="1276" spans="2:2" x14ac:dyDescent="0.25">
      <c r="B1276" t="str">
        <f t="shared" si="19"/>
        <v>01</v>
      </c>
    </row>
    <row r="1277" spans="2:2" x14ac:dyDescent="0.25">
      <c r="B1277" t="str">
        <f t="shared" si="19"/>
        <v>01</v>
      </c>
    </row>
    <row r="1278" spans="2:2" x14ac:dyDescent="0.25">
      <c r="B1278" t="str">
        <f t="shared" si="19"/>
        <v>01</v>
      </c>
    </row>
    <row r="1279" spans="2:2" x14ac:dyDescent="0.25">
      <c r="B1279" t="str">
        <f t="shared" si="19"/>
        <v>01</v>
      </c>
    </row>
    <row r="1280" spans="2:2" x14ac:dyDescent="0.25">
      <c r="B1280" t="str">
        <f t="shared" si="19"/>
        <v>01</v>
      </c>
    </row>
    <row r="1281" spans="2:2" x14ac:dyDescent="0.25">
      <c r="B1281" t="str">
        <f t="shared" si="19"/>
        <v>01</v>
      </c>
    </row>
    <row r="1282" spans="2:2" x14ac:dyDescent="0.25">
      <c r="B1282" t="str">
        <f t="shared" si="19"/>
        <v>01</v>
      </c>
    </row>
    <row r="1283" spans="2:2" x14ac:dyDescent="0.25">
      <c r="B1283" t="str">
        <f t="shared" si="19"/>
        <v>01</v>
      </c>
    </row>
    <row r="1284" spans="2:2" x14ac:dyDescent="0.25">
      <c r="B1284" t="str">
        <f t="shared" si="19"/>
        <v>01</v>
      </c>
    </row>
    <row r="1285" spans="2:2" x14ac:dyDescent="0.25">
      <c r="B1285" t="str">
        <f t="shared" si="19"/>
        <v>01</v>
      </c>
    </row>
    <row r="1286" spans="2:2" x14ac:dyDescent="0.25">
      <c r="B1286" t="str">
        <f t="shared" ref="B1286:B1349" si="20">TEXT(C1286,"MM")</f>
        <v>01</v>
      </c>
    </row>
    <row r="1287" spans="2:2" x14ac:dyDescent="0.25">
      <c r="B1287" t="str">
        <f t="shared" si="20"/>
        <v>01</v>
      </c>
    </row>
    <row r="1288" spans="2:2" x14ac:dyDescent="0.25">
      <c r="B1288" t="str">
        <f t="shared" si="20"/>
        <v>01</v>
      </c>
    </row>
    <row r="1289" spans="2:2" x14ac:dyDescent="0.25">
      <c r="B1289" t="str">
        <f t="shared" si="20"/>
        <v>01</v>
      </c>
    </row>
    <row r="1290" spans="2:2" x14ac:dyDescent="0.25">
      <c r="B1290" t="str">
        <f t="shared" si="20"/>
        <v>01</v>
      </c>
    </row>
    <row r="1291" spans="2:2" x14ac:dyDescent="0.25">
      <c r="B1291" t="str">
        <f t="shared" si="20"/>
        <v>01</v>
      </c>
    </row>
    <row r="1292" spans="2:2" x14ac:dyDescent="0.25">
      <c r="B1292" t="str">
        <f t="shared" si="20"/>
        <v>01</v>
      </c>
    </row>
    <row r="1293" spans="2:2" x14ac:dyDescent="0.25">
      <c r="B1293" t="str">
        <f t="shared" si="20"/>
        <v>01</v>
      </c>
    </row>
    <row r="1294" spans="2:2" x14ac:dyDescent="0.25">
      <c r="B1294" t="str">
        <f t="shared" si="20"/>
        <v>01</v>
      </c>
    </row>
    <row r="1295" spans="2:2" x14ac:dyDescent="0.25">
      <c r="B1295" t="str">
        <f t="shared" si="20"/>
        <v>01</v>
      </c>
    </row>
    <row r="1296" spans="2:2" x14ac:dyDescent="0.25">
      <c r="B1296" t="str">
        <f t="shared" si="20"/>
        <v>01</v>
      </c>
    </row>
    <row r="1297" spans="2:2" x14ac:dyDescent="0.25">
      <c r="B1297" t="str">
        <f t="shared" si="20"/>
        <v>01</v>
      </c>
    </row>
    <row r="1298" spans="2:2" x14ac:dyDescent="0.25">
      <c r="B1298" t="str">
        <f t="shared" si="20"/>
        <v>01</v>
      </c>
    </row>
    <row r="1299" spans="2:2" x14ac:dyDescent="0.25">
      <c r="B1299" t="str">
        <f t="shared" si="20"/>
        <v>01</v>
      </c>
    </row>
    <row r="1300" spans="2:2" x14ac:dyDescent="0.25">
      <c r="B1300" t="str">
        <f t="shared" si="20"/>
        <v>01</v>
      </c>
    </row>
    <row r="1301" spans="2:2" x14ac:dyDescent="0.25">
      <c r="B1301" t="str">
        <f t="shared" si="20"/>
        <v>01</v>
      </c>
    </row>
    <row r="1302" spans="2:2" x14ac:dyDescent="0.25">
      <c r="B1302" t="str">
        <f t="shared" si="20"/>
        <v>01</v>
      </c>
    </row>
    <row r="1303" spans="2:2" x14ac:dyDescent="0.25">
      <c r="B1303" t="str">
        <f t="shared" si="20"/>
        <v>01</v>
      </c>
    </row>
    <row r="1304" spans="2:2" x14ac:dyDescent="0.25">
      <c r="B1304" t="str">
        <f t="shared" si="20"/>
        <v>01</v>
      </c>
    </row>
    <row r="1305" spans="2:2" x14ac:dyDescent="0.25">
      <c r="B1305" t="str">
        <f t="shared" si="20"/>
        <v>01</v>
      </c>
    </row>
    <row r="1306" spans="2:2" x14ac:dyDescent="0.25">
      <c r="B1306" t="str">
        <f t="shared" si="20"/>
        <v>01</v>
      </c>
    </row>
    <row r="1307" spans="2:2" x14ac:dyDescent="0.25">
      <c r="B1307" t="str">
        <f t="shared" si="20"/>
        <v>01</v>
      </c>
    </row>
    <row r="1308" spans="2:2" x14ac:dyDescent="0.25">
      <c r="B1308" t="str">
        <f t="shared" si="20"/>
        <v>01</v>
      </c>
    </row>
    <row r="1309" spans="2:2" x14ac:dyDescent="0.25">
      <c r="B1309" t="str">
        <f t="shared" si="20"/>
        <v>01</v>
      </c>
    </row>
    <row r="1310" spans="2:2" x14ac:dyDescent="0.25">
      <c r="B1310" t="str">
        <f t="shared" si="20"/>
        <v>01</v>
      </c>
    </row>
    <row r="1311" spans="2:2" x14ac:dyDescent="0.25">
      <c r="B1311" t="str">
        <f t="shared" si="20"/>
        <v>01</v>
      </c>
    </row>
    <row r="1312" spans="2:2" x14ac:dyDescent="0.25">
      <c r="B1312" t="str">
        <f t="shared" si="20"/>
        <v>01</v>
      </c>
    </row>
    <row r="1313" spans="2:2" x14ac:dyDescent="0.25">
      <c r="B1313" t="str">
        <f t="shared" si="20"/>
        <v>01</v>
      </c>
    </row>
    <row r="1314" spans="2:2" x14ac:dyDescent="0.25">
      <c r="B1314" t="str">
        <f t="shared" si="20"/>
        <v>01</v>
      </c>
    </row>
    <row r="1315" spans="2:2" x14ac:dyDescent="0.25">
      <c r="B1315" t="str">
        <f t="shared" si="20"/>
        <v>01</v>
      </c>
    </row>
    <row r="1316" spans="2:2" x14ac:dyDescent="0.25">
      <c r="B1316" t="str">
        <f t="shared" si="20"/>
        <v>01</v>
      </c>
    </row>
    <row r="1317" spans="2:2" x14ac:dyDescent="0.25">
      <c r="B1317" t="str">
        <f t="shared" si="20"/>
        <v>01</v>
      </c>
    </row>
    <row r="1318" spans="2:2" x14ac:dyDescent="0.25">
      <c r="B1318" t="str">
        <f t="shared" si="20"/>
        <v>01</v>
      </c>
    </row>
    <row r="1319" spans="2:2" x14ac:dyDescent="0.25">
      <c r="B1319" t="str">
        <f t="shared" si="20"/>
        <v>01</v>
      </c>
    </row>
    <row r="1320" spans="2:2" x14ac:dyDescent="0.25">
      <c r="B1320" t="str">
        <f t="shared" si="20"/>
        <v>01</v>
      </c>
    </row>
    <row r="1321" spans="2:2" x14ac:dyDescent="0.25">
      <c r="B1321" t="str">
        <f t="shared" si="20"/>
        <v>01</v>
      </c>
    </row>
    <row r="1322" spans="2:2" x14ac:dyDescent="0.25">
      <c r="B1322" t="str">
        <f t="shared" si="20"/>
        <v>01</v>
      </c>
    </row>
    <row r="1323" spans="2:2" x14ac:dyDescent="0.25">
      <c r="B1323" t="str">
        <f t="shared" si="20"/>
        <v>01</v>
      </c>
    </row>
    <row r="1324" spans="2:2" x14ac:dyDescent="0.25">
      <c r="B1324" t="str">
        <f t="shared" si="20"/>
        <v>01</v>
      </c>
    </row>
    <row r="1325" spans="2:2" x14ac:dyDescent="0.25">
      <c r="B1325" t="str">
        <f t="shared" si="20"/>
        <v>01</v>
      </c>
    </row>
    <row r="1326" spans="2:2" x14ac:dyDescent="0.25">
      <c r="B1326" t="str">
        <f t="shared" si="20"/>
        <v>01</v>
      </c>
    </row>
    <row r="1327" spans="2:2" x14ac:dyDescent="0.25">
      <c r="B1327" t="str">
        <f t="shared" si="20"/>
        <v>01</v>
      </c>
    </row>
    <row r="1328" spans="2:2" x14ac:dyDescent="0.25">
      <c r="B1328" t="str">
        <f t="shared" si="20"/>
        <v>01</v>
      </c>
    </row>
    <row r="1329" spans="2:2" x14ac:dyDescent="0.25">
      <c r="B1329" t="str">
        <f t="shared" si="20"/>
        <v>01</v>
      </c>
    </row>
    <row r="1330" spans="2:2" x14ac:dyDescent="0.25">
      <c r="B1330" t="str">
        <f t="shared" si="20"/>
        <v>01</v>
      </c>
    </row>
    <row r="1331" spans="2:2" x14ac:dyDescent="0.25">
      <c r="B1331" t="str">
        <f t="shared" si="20"/>
        <v>01</v>
      </c>
    </row>
    <row r="1332" spans="2:2" x14ac:dyDescent="0.25">
      <c r="B1332" t="str">
        <f t="shared" si="20"/>
        <v>01</v>
      </c>
    </row>
    <row r="1333" spans="2:2" x14ac:dyDescent="0.25">
      <c r="B1333" t="str">
        <f t="shared" si="20"/>
        <v>01</v>
      </c>
    </row>
    <row r="1334" spans="2:2" x14ac:dyDescent="0.25">
      <c r="B1334" t="str">
        <f t="shared" si="20"/>
        <v>01</v>
      </c>
    </row>
    <row r="1335" spans="2:2" x14ac:dyDescent="0.25">
      <c r="B1335" t="str">
        <f t="shared" si="20"/>
        <v>01</v>
      </c>
    </row>
    <row r="1336" spans="2:2" x14ac:dyDescent="0.25">
      <c r="B1336" t="str">
        <f t="shared" si="20"/>
        <v>01</v>
      </c>
    </row>
    <row r="1337" spans="2:2" x14ac:dyDescent="0.25">
      <c r="B1337" t="str">
        <f t="shared" si="20"/>
        <v>01</v>
      </c>
    </row>
    <row r="1338" spans="2:2" x14ac:dyDescent="0.25">
      <c r="B1338" t="str">
        <f t="shared" si="20"/>
        <v>01</v>
      </c>
    </row>
    <row r="1339" spans="2:2" x14ac:dyDescent="0.25">
      <c r="B1339" t="str">
        <f t="shared" si="20"/>
        <v>01</v>
      </c>
    </row>
    <row r="1340" spans="2:2" x14ac:dyDescent="0.25">
      <c r="B1340" t="str">
        <f t="shared" si="20"/>
        <v>01</v>
      </c>
    </row>
    <row r="1341" spans="2:2" x14ac:dyDescent="0.25">
      <c r="B1341" t="str">
        <f t="shared" si="20"/>
        <v>01</v>
      </c>
    </row>
    <row r="1342" spans="2:2" x14ac:dyDescent="0.25">
      <c r="B1342" t="str">
        <f t="shared" si="20"/>
        <v>01</v>
      </c>
    </row>
    <row r="1343" spans="2:2" x14ac:dyDescent="0.25">
      <c r="B1343" t="str">
        <f t="shared" si="20"/>
        <v>01</v>
      </c>
    </row>
    <row r="1344" spans="2:2" x14ac:dyDescent="0.25">
      <c r="B1344" t="str">
        <f t="shared" si="20"/>
        <v>01</v>
      </c>
    </row>
    <row r="1345" spans="2:2" x14ac:dyDescent="0.25">
      <c r="B1345" t="str">
        <f t="shared" si="20"/>
        <v>01</v>
      </c>
    </row>
    <row r="1346" spans="2:2" x14ac:dyDescent="0.25">
      <c r="B1346" t="str">
        <f t="shared" si="20"/>
        <v>01</v>
      </c>
    </row>
    <row r="1347" spans="2:2" x14ac:dyDescent="0.25">
      <c r="B1347" t="str">
        <f t="shared" si="20"/>
        <v>01</v>
      </c>
    </row>
    <row r="1348" spans="2:2" x14ac:dyDescent="0.25">
      <c r="B1348" t="str">
        <f t="shared" si="20"/>
        <v>01</v>
      </c>
    </row>
    <row r="1349" spans="2:2" x14ac:dyDescent="0.25">
      <c r="B1349" t="str">
        <f t="shared" si="20"/>
        <v>01</v>
      </c>
    </row>
    <row r="1350" spans="2:2" x14ac:dyDescent="0.25">
      <c r="B1350" t="str">
        <f t="shared" ref="B1350:B1413" si="21">TEXT(C1350,"MM")</f>
        <v>01</v>
      </c>
    </row>
    <row r="1351" spans="2:2" x14ac:dyDescent="0.25">
      <c r="B1351" t="str">
        <f t="shared" si="21"/>
        <v>01</v>
      </c>
    </row>
    <row r="1352" spans="2:2" x14ac:dyDescent="0.25">
      <c r="B1352" t="str">
        <f t="shared" si="21"/>
        <v>01</v>
      </c>
    </row>
    <row r="1353" spans="2:2" x14ac:dyDescent="0.25">
      <c r="B1353" t="str">
        <f t="shared" si="21"/>
        <v>01</v>
      </c>
    </row>
    <row r="1354" spans="2:2" x14ac:dyDescent="0.25">
      <c r="B1354" t="str">
        <f t="shared" si="21"/>
        <v>01</v>
      </c>
    </row>
    <row r="1355" spans="2:2" x14ac:dyDescent="0.25">
      <c r="B1355" t="str">
        <f t="shared" si="21"/>
        <v>01</v>
      </c>
    </row>
    <row r="1356" spans="2:2" x14ac:dyDescent="0.25">
      <c r="B1356" t="str">
        <f t="shared" si="21"/>
        <v>01</v>
      </c>
    </row>
    <row r="1357" spans="2:2" x14ac:dyDescent="0.25">
      <c r="B1357" t="str">
        <f t="shared" si="21"/>
        <v>01</v>
      </c>
    </row>
    <row r="1358" spans="2:2" x14ac:dyDescent="0.25">
      <c r="B1358" t="str">
        <f t="shared" si="21"/>
        <v>01</v>
      </c>
    </row>
    <row r="1359" spans="2:2" x14ac:dyDescent="0.25">
      <c r="B1359" t="str">
        <f t="shared" si="21"/>
        <v>01</v>
      </c>
    </row>
    <row r="1360" spans="2:2" x14ac:dyDescent="0.25">
      <c r="B1360" t="str">
        <f t="shared" si="21"/>
        <v>01</v>
      </c>
    </row>
    <row r="1361" spans="2:2" x14ac:dyDescent="0.25">
      <c r="B1361" t="str">
        <f t="shared" si="21"/>
        <v>01</v>
      </c>
    </row>
    <row r="1362" spans="2:2" x14ac:dyDescent="0.25">
      <c r="B1362" t="str">
        <f t="shared" si="21"/>
        <v>01</v>
      </c>
    </row>
    <row r="1363" spans="2:2" x14ac:dyDescent="0.25">
      <c r="B1363" t="str">
        <f t="shared" si="21"/>
        <v>01</v>
      </c>
    </row>
    <row r="1364" spans="2:2" x14ac:dyDescent="0.25">
      <c r="B1364" t="str">
        <f t="shared" si="21"/>
        <v>01</v>
      </c>
    </row>
    <row r="1365" spans="2:2" x14ac:dyDescent="0.25">
      <c r="B1365" t="str">
        <f t="shared" si="21"/>
        <v>01</v>
      </c>
    </row>
    <row r="1366" spans="2:2" x14ac:dyDescent="0.25">
      <c r="B1366" t="str">
        <f t="shared" si="21"/>
        <v>01</v>
      </c>
    </row>
    <row r="1367" spans="2:2" x14ac:dyDescent="0.25">
      <c r="B1367" t="str">
        <f t="shared" si="21"/>
        <v>01</v>
      </c>
    </row>
    <row r="1368" spans="2:2" x14ac:dyDescent="0.25">
      <c r="B1368" t="str">
        <f t="shared" si="21"/>
        <v>01</v>
      </c>
    </row>
    <row r="1369" spans="2:2" x14ac:dyDescent="0.25">
      <c r="B1369" t="str">
        <f t="shared" si="21"/>
        <v>01</v>
      </c>
    </row>
    <row r="1370" spans="2:2" x14ac:dyDescent="0.25">
      <c r="B1370" t="str">
        <f t="shared" si="21"/>
        <v>01</v>
      </c>
    </row>
    <row r="1371" spans="2:2" x14ac:dyDescent="0.25">
      <c r="B1371" t="str">
        <f t="shared" si="21"/>
        <v>01</v>
      </c>
    </row>
    <row r="1372" spans="2:2" x14ac:dyDescent="0.25">
      <c r="B1372" t="str">
        <f t="shared" si="21"/>
        <v>01</v>
      </c>
    </row>
    <row r="1373" spans="2:2" x14ac:dyDescent="0.25">
      <c r="B1373" t="str">
        <f t="shared" si="21"/>
        <v>01</v>
      </c>
    </row>
    <row r="1374" spans="2:2" x14ac:dyDescent="0.25">
      <c r="B1374" t="str">
        <f t="shared" si="21"/>
        <v>01</v>
      </c>
    </row>
    <row r="1375" spans="2:2" x14ac:dyDescent="0.25">
      <c r="B1375" t="str">
        <f t="shared" si="21"/>
        <v>01</v>
      </c>
    </row>
    <row r="1376" spans="2:2" x14ac:dyDescent="0.25">
      <c r="B1376" t="str">
        <f t="shared" si="21"/>
        <v>01</v>
      </c>
    </row>
    <row r="1377" spans="2:2" x14ac:dyDescent="0.25">
      <c r="B1377" t="str">
        <f t="shared" si="21"/>
        <v>01</v>
      </c>
    </row>
    <row r="1378" spans="2:2" x14ac:dyDescent="0.25">
      <c r="B1378" t="str">
        <f t="shared" si="21"/>
        <v>01</v>
      </c>
    </row>
    <row r="1379" spans="2:2" x14ac:dyDescent="0.25">
      <c r="B1379" t="str">
        <f t="shared" si="21"/>
        <v>01</v>
      </c>
    </row>
    <row r="1380" spans="2:2" x14ac:dyDescent="0.25">
      <c r="B1380" t="str">
        <f t="shared" si="21"/>
        <v>01</v>
      </c>
    </row>
    <row r="1381" spans="2:2" x14ac:dyDescent="0.25">
      <c r="B1381" t="str">
        <f t="shared" si="21"/>
        <v>01</v>
      </c>
    </row>
    <row r="1382" spans="2:2" x14ac:dyDescent="0.25">
      <c r="B1382" t="str">
        <f t="shared" si="21"/>
        <v>01</v>
      </c>
    </row>
    <row r="1383" spans="2:2" x14ac:dyDescent="0.25">
      <c r="B1383" t="str">
        <f t="shared" si="21"/>
        <v>01</v>
      </c>
    </row>
    <row r="1384" spans="2:2" x14ac:dyDescent="0.25">
      <c r="B1384" t="str">
        <f t="shared" si="21"/>
        <v>01</v>
      </c>
    </row>
    <row r="1385" spans="2:2" x14ac:dyDescent="0.25">
      <c r="B1385" t="str">
        <f t="shared" si="21"/>
        <v>01</v>
      </c>
    </row>
    <row r="1386" spans="2:2" x14ac:dyDescent="0.25">
      <c r="B1386" t="str">
        <f t="shared" si="21"/>
        <v>01</v>
      </c>
    </row>
    <row r="1387" spans="2:2" x14ac:dyDescent="0.25">
      <c r="B1387" t="str">
        <f t="shared" si="21"/>
        <v>01</v>
      </c>
    </row>
    <row r="1388" spans="2:2" x14ac:dyDescent="0.25">
      <c r="B1388" t="str">
        <f t="shared" si="21"/>
        <v>01</v>
      </c>
    </row>
    <row r="1389" spans="2:2" x14ac:dyDescent="0.25">
      <c r="B1389" t="str">
        <f t="shared" si="21"/>
        <v>01</v>
      </c>
    </row>
    <row r="1390" spans="2:2" x14ac:dyDescent="0.25">
      <c r="B1390" t="str">
        <f t="shared" si="21"/>
        <v>01</v>
      </c>
    </row>
    <row r="1391" spans="2:2" x14ac:dyDescent="0.25">
      <c r="B1391" t="str">
        <f t="shared" si="21"/>
        <v>01</v>
      </c>
    </row>
    <row r="1392" spans="2:2" x14ac:dyDescent="0.25">
      <c r="B1392" t="str">
        <f t="shared" si="21"/>
        <v>01</v>
      </c>
    </row>
    <row r="1393" spans="2:2" x14ac:dyDescent="0.25">
      <c r="B1393" t="str">
        <f t="shared" si="21"/>
        <v>01</v>
      </c>
    </row>
    <row r="1394" spans="2:2" x14ac:dyDescent="0.25">
      <c r="B1394" t="str">
        <f t="shared" si="21"/>
        <v>01</v>
      </c>
    </row>
    <row r="1395" spans="2:2" x14ac:dyDescent="0.25">
      <c r="B1395" t="str">
        <f t="shared" si="21"/>
        <v>01</v>
      </c>
    </row>
    <row r="1396" spans="2:2" x14ac:dyDescent="0.25">
      <c r="B1396" t="str">
        <f t="shared" si="21"/>
        <v>01</v>
      </c>
    </row>
    <row r="1397" spans="2:2" x14ac:dyDescent="0.25">
      <c r="B1397" t="str">
        <f t="shared" si="21"/>
        <v>01</v>
      </c>
    </row>
    <row r="1398" spans="2:2" x14ac:dyDescent="0.25">
      <c r="B1398" t="str">
        <f t="shared" si="21"/>
        <v>01</v>
      </c>
    </row>
    <row r="1399" spans="2:2" x14ac:dyDescent="0.25">
      <c r="B1399" t="str">
        <f t="shared" si="21"/>
        <v>01</v>
      </c>
    </row>
    <row r="1400" spans="2:2" x14ac:dyDescent="0.25">
      <c r="B1400" t="str">
        <f t="shared" si="21"/>
        <v>01</v>
      </c>
    </row>
    <row r="1401" spans="2:2" x14ac:dyDescent="0.25">
      <c r="B1401" t="str">
        <f t="shared" si="21"/>
        <v>01</v>
      </c>
    </row>
    <row r="1402" spans="2:2" x14ac:dyDescent="0.25">
      <c r="B1402" t="str">
        <f t="shared" si="21"/>
        <v>01</v>
      </c>
    </row>
    <row r="1403" spans="2:2" x14ac:dyDescent="0.25">
      <c r="B1403" t="str">
        <f t="shared" si="21"/>
        <v>01</v>
      </c>
    </row>
    <row r="1404" spans="2:2" x14ac:dyDescent="0.25">
      <c r="B1404" t="str">
        <f t="shared" si="21"/>
        <v>01</v>
      </c>
    </row>
    <row r="1405" spans="2:2" x14ac:dyDescent="0.25">
      <c r="B1405" t="str">
        <f t="shared" si="21"/>
        <v>01</v>
      </c>
    </row>
    <row r="1406" spans="2:2" x14ac:dyDescent="0.25">
      <c r="B1406" t="str">
        <f t="shared" si="21"/>
        <v>01</v>
      </c>
    </row>
    <row r="1407" spans="2:2" x14ac:dyDescent="0.25">
      <c r="B1407" t="str">
        <f t="shared" si="21"/>
        <v>01</v>
      </c>
    </row>
    <row r="1408" spans="2:2" x14ac:dyDescent="0.25">
      <c r="B1408" t="str">
        <f t="shared" si="21"/>
        <v>01</v>
      </c>
    </row>
    <row r="1409" spans="2:2" x14ac:dyDescent="0.25">
      <c r="B1409" t="str">
        <f t="shared" si="21"/>
        <v>01</v>
      </c>
    </row>
    <row r="1410" spans="2:2" x14ac:dyDescent="0.25">
      <c r="B1410" t="str">
        <f t="shared" si="21"/>
        <v>01</v>
      </c>
    </row>
    <row r="1411" spans="2:2" x14ac:dyDescent="0.25">
      <c r="B1411" t="str">
        <f t="shared" si="21"/>
        <v>01</v>
      </c>
    </row>
    <row r="1412" spans="2:2" x14ac:dyDescent="0.25">
      <c r="B1412" t="str">
        <f t="shared" si="21"/>
        <v>01</v>
      </c>
    </row>
    <row r="1413" spans="2:2" x14ac:dyDescent="0.25">
      <c r="B1413" t="str">
        <f t="shared" si="21"/>
        <v>01</v>
      </c>
    </row>
    <row r="1414" spans="2:2" x14ac:dyDescent="0.25">
      <c r="B1414" t="str">
        <f t="shared" ref="B1414:B1477" si="22">TEXT(C1414,"MM")</f>
        <v>01</v>
      </c>
    </row>
    <row r="1415" spans="2:2" x14ac:dyDescent="0.25">
      <c r="B1415" t="str">
        <f t="shared" si="22"/>
        <v>01</v>
      </c>
    </row>
    <row r="1416" spans="2:2" x14ac:dyDescent="0.25">
      <c r="B1416" t="str">
        <f t="shared" si="22"/>
        <v>01</v>
      </c>
    </row>
    <row r="1417" spans="2:2" x14ac:dyDescent="0.25">
      <c r="B1417" t="str">
        <f t="shared" si="22"/>
        <v>01</v>
      </c>
    </row>
    <row r="1418" spans="2:2" x14ac:dyDescent="0.25">
      <c r="B1418" t="str">
        <f t="shared" si="22"/>
        <v>01</v>
      </c>
    </row>
    <row r="1419" spans="2:2" x14ac:dyDescent="0.25">
      <c r="B1419" t="str">
        <f t="shared" si="22"/>
        <v>01</v>
      </c>
    </row>
    <row r="1420" spans="2:2" x14ac:dyDescent="0.25">
      <c r="B1420" t="str">
        <f t="shared" si="22"/>
        <v>01</v>
      </c>
    </row>
    <row r="1421" spans="2:2" x14ac:dyDescent="0.25">
      <c r="B1421" t="str">
        <f t="shared" si="22"/>
        <v>01</v>
      </c>
    </row>
    <row r="1422" spans="2:2" x14ac:dyDescent="0.25">
      <c r="B1422" t="str">
        <f t="shared" si="22"/>
        <v>01</v>
      </c>
    </row>
    <row r="1423" spans="2:2" x14ac:dyDescent="0.25">
      <c r="B1423" t="str">
        <f t="shared" si="22"/>
        <v>01</v>
      </c>
    </row>
    <row r="1424" spans="2:2" x14ac:dyDescent="0.25">
      <c r="B1424" t="str">
        <f t="shared" si="22"/>
        <v>01</v>
      </c>
    </row>
    <row r="1425" spans="2:2" x14ac:dyDescent="0.25">
      <c r="B1425" t="str">
        <f t="shared" si="22"/>
        <v>01</v>
      </c>
    </row>
    <row r="1426" spans="2:2" x14ac:dyDescent="0.25">
      <c r="B1426" t="str">
        <f t="shared" si="22"/>
        <v>01</v>
      </c>
    </row>
    <row r="1427" spans="2:2" x14ac:dyDescent="0.25">
      <c r="B1427" t="str">
        <f t="shared" si="22"/>
        <v>01</v>
      </c>
    </row>
    <row r="1428" spans="2:2" x14ac:dyDescent="0.25">
      <c r="B1428" t="str">
        <f t="shared" si="22"/>
        <v>01</v>
      </c>
    </row>
    <row r="1429" spans="2:2" x14ac:dyDescent="0.25">
      <c r="B1429" t="str">
        <f t="shared" si="22"/>
        <v>01</v>
      </c>
    </row>
    <row r="1430" spans="2:2" x14ac:dyDescent="0.25">
      <c r="B1430" t="str">
        <f t="shared" si="22"/>
        <v>01</v>
      </c>
    </row>
    <row r="1431" spans="2:2" x14ac:dyDescent="0.25">
      <c r="B1431" t="str">
        <f t="shared" si="22"/>
        <v>01</v>
      </c>
    </row>
    <row r="1432" spans="2:2" x14ac:dyDescent="0.25">
      <c r="B1432" t="str">
        <f t="shared" si="22"/>
        <v>01</v>
      </c>
    </row>
    <row r="1433" spans="2:2" x14ac:dyDescent="0.25">
      <c r="B1433" t="str">
        <f t="shared" si="22"/>
        <v>01</v>
      </c>
    </row>
    <row r="1434" spans="2:2" x14ac:dyDescent="0.25">
      <c r="B1434" t="str">
        <f t="shared" si="22"/>
        <v>01</v>
      </c>
    </row>
    <row r="1435" spans="2:2" x14ac:dyDescent="0.25">
      <c r="B1435" t="str">
        <f t="shared" si="22"/>
        <v>01</v>
      </c>
    </row>
    <row r="1436" spans="2:2" x14ac:dyDescent="0.25">
      <c r="B1436" t="str">
        <f t="shared" si="22"/>
        <v>01</v>
      </c>
    </row>
    <row r="1437" spans="2:2" x14ac:dyDescent="0.25">
      <c r="B1437" t="str">
        <f t="shared" si="22"/>
        <v>01</v>
      </c>
    </row>
    <row r="1438" spans="2:2" x14ac:dyDescent="0.25">
      <c r="B1438" t="str">
        <f t="shared" si="22"/>
        <v>01</v>
      </c>
    </row>
    <row r="1439" spans="2:2" x14ac:dyDescent="0.25">
      <c r="B1439" t="str">
        <f t="shared" si="22"/>
        <v>01</v>
      </c>
    </row>
    <row r="1440" spans="2:2" x14ac:dyDescent="0.25">
      <c r="B1440" t="str">
        <f t="shared" si="22"/>
        <v>01</v>
      </c>
    </row>
    <row r="1441" spans="2:2" x14ac:dyDescent="0.25">
      <c r="B1441" t="str">
        <f t="shared" si="22"/>
        <v>01</v>
      </c>
    </row>
    <row r="1442" spans="2:2" x14ac:dyDescent="0.25">
      <c r="B1442" t="str">
        <f t="shared" si="22"/>
        <v>01</v>
      </c>
    </row>
    <row r="1443" spans="2:2" x14ac:dyDescent="0.25">
      <c r="B1443" t="str">
        <f t="shared" si="22"/>
        <v>01</v>
      </c>
    </row>
    <row r="1444" spans="2:2" x14ac:dyDescent="0.25">
      <c r="B1444" t="str">
        <f t="shared" si="22"/>
        <v>01</v>
      </c>
    </row>
    <row r="1445" spans="2:2" x14ac:dyDescent="0.25">
      <c r="B1445" t="str">
        <f t="shared" si="22"/>
        <v>01</v>
      </c>
    </row>
    <row r="1446" spans="2:2" x14ac:dyDescent="0.25">
      <c r="B1446" t="str">
        <f t="shared" si="22"/>
        <v>01</v>
      </c>
    </row>
    <row r="1447" spans="2:2" x14ac:dyDescent="0.25">
      <c r="B1447" t="str">
        <f t="shared" si="22"/>
        <v>01</v>
      </c>
    </row>
    <row r="1448" spans="2:2" x14ac:dyDescent="0.25">
      <c r="B1448" t="str">
        <f t="shared" si="22"/>
        <v>01</v>
      </c>
    </row>
    <row r="1449" spans="2:2" x14ac:dyDescent="0.25">
      <c r="B1449" t="str">
        <f t="shared" si="22"/>
        <v>01</v>
      </c>
    </row>
    <row r="1450" spans="2:2" x14ac:dyDescent="0.25">
      <c r="B1450" t="str">
        <f t="shared" si="22"/>
        <v>01</v>
      </c>
    </row>
    <row r="1451" spans="2:2" x14ac:dyDescent="0.25">
      <c r="B1451" t="str">
        <f t="shared" si="22"/>
        <v>01</v>
      </c>
    </row>
    <row r="1452" spans="2:2" x14ac:dyDescent="0.25">
      <c r="B1452" t="str">
        <f t="shared" si="22"/>
        <v>01</v>
      </c>
    </row>
    <row r="1453" spans="2:2" x14ac:dyDescent="0.25">
      <c r="B1453" t="str">
        <f t="shared" si="22"/>
        <v>01</v>
      </c>
    </row>
    <row r="1454" spans="2:2" x14ac:dyDescent="0.25">
      <c r="B1454" t="str">
        <f t="shared" si="22"/>
        <v>01</v>
      </c>
    </row>
    <row r="1455" spans="2:2" x14ac:dyDescent="0.25">
      <c r="B1455" t="str">
        <f t="shared" si="22"/>
        <v>01</v>
      </c>
    </row>
    <row r="1456" spans="2:2" x14ac:dyDescent="0.25">
      <c r="B1456" t="str">
        <f t="shared" si="22"/>
        <v>01</v>
      </c>
    </row>
    <row r="1457" spans="2:2" x14ac:dyDescent="0.25">
      <c r="B1457" t="str">
        <f t="shared" si="22"/>
        <v>01</v>
      </c>
    </row>
    <row r="1458" spans="2:2" x14ac:dyDescent="0.25">
      <c r="B1458" t="str">
        <f t="shared" si="22"/>
        <v>01</v>
      </c>
    </row>
    <row r="1459" spans="2:2" x14ac:dyDescent="0.25">
      <c r="B1459" t="str">
        <f t="shared" si="22"/>
        <v>01</v>
      </c>
    </row>
    <row r="1460" spans="2:2" x14ac:dyDescent="0.25">
      <c r="B1460" t="str">
        <f t="shared" si="22"/>
        <v>01</v>
      </c>
    </row>
    <row r="1461" spans="2:2" x14ac:dyDescent="0.25">
      <c r="B1461" t="str">
        <f t="shared" si="22"/>
        <v>01</v>
      </c>
    </row>
    <row r="1462" spans="2:2" x14ac:dyDescent="0.25">
      <c r="B1462" t="str">
        <f t="shared" si="22"/>
        <v>01</v>
      </c>
    </row>
    <row r="1463" spans="2:2" x14ac:dyDescent="0.25">
      <c r="B1463" t="str">
        <f t="shared" si="22"/>
        <v>01</v>
      </c>
    </row>
    <row r="1464" spans="2:2" x14ac:dyDescent="0.25">
      <c r="B1464" t="str">
        <f t="shared" si="22"/>
        <v>01</v>
      </c>
    </row>
    <row r="1465" spans="2:2" x14ac:dyDescent="0.25">
      <c r="B1465" t="str">
        <f t="shared" si="22"/>
        <v>01</v>
      </c>
    </row>
    <row r="1466" spans="2:2" x14ac:dyDescent="0.25">
      <c r="B1466" t="str">
        <f t="shared" si="22"/>
        <v>01</v>
      </c>
    </row>
    <row r="1467" spans="2:2" x14ac:dyDescent="0.25">
      <c r="B1467" t="str">
        <f t="shared" si="22"/>
        <v>01</v>
      </c>
    </row>
    <row r="1468" spans="2:2" x14ac:dyDescent="0.25">
      <c r="B1468" t="str">
        <f t="shared" si="22"/>
        <v>01</v>
      </c>
    </row>
    <row r="1469" spans="2:2" x14ac:dyDescent="0.25">
      <c r="B1469" t="str">
        <f t="shared" si="22"/>
        <v>01</v>
      </c>
    </row>
    <row r="1470" spans="2:2" x14ac:dyDescent="0.25">
      <c r="B1470" t="str">
        <f t="shared" si="22"/>
        <v>01</v>
      </c>
    </row>
    <row r="1471" spans="2:2" x14ac:dyDescent="0.25">
      <c r="B1471" t="str">
        <f t="shared" si="22"/>
        <v>01</v>
      </c>
    </row>
    <row r="1472" spans="2:2" x14ac:dyDescent="0.25">
      <c r="B1472" t="str">
        <f t="shared" si="22"/>
        <v>01</v>
      </c>
    </row>
    <row r="1473" spans="2:2" x14ac:dyDescent="0.25">
      <c r="B1473" t="str">
        <f t="shared" si="22"/>
        <v>01</v>
      </c>
    </row>
    <row r="1474" spans="2:2" x14ac:dyDescent="0.25">
      <c r="B1474" t="str">
        <f t="shared" si="22"/>
        <v>01</v>
      </c>
    </row>
    <row r="1475" spans="2:2" x14ac:dyDescent="0.25">
      <c r="B1475" t="str">
        <f t="shared" si="22"/>
        <v>01</v>
      </c>
    </row>
    <row r="1476" spans="2:2" x14ac:dyDescent="0.25">
      <c r="B1476" t="str">
        <f t="shared" si="22"/>
        <v>01</v>
      </c>
    </row>
    <row r="1477" spans="2:2" x14ac:dyDescent="0.25">
      <c r="B1477" t="str">
        <f t="shared" si="22"/>
        <v>01</v>
      </c>
    </row>
    <row r="1478" spans="2:2" x14ac:dyDescent="0.25">
      <c r="B1478" t="str">
        <f t="shared" ref="B1478:B1541" si="23">TEXT(C1478,"MM")</f>
        <v>01</v>
      </c>
    </row>
    <row r="1479" spans="2:2" x14ac:dyDescent="0.25">
      <c r="B1479" t="str">
        <f t="shared" si="23"/>
        <v>01</v>
      </c>
    </row>
    <row r="1480" spans="2:2" x14ac:dyDescent="0.25">
      <c r="B1480" t="str">
        <f t="shared" si="23"/>
        <v>01</v>
      </c>
    </row>
    <row r="1481" spans="2:2" x14ac:dyDescent="0.25">
      <c r="B1481" t="str">
        <f t="shared" si="23"/>
        <v>01</v>
      </c>
    </row>
    <row r="1482" spans="2:2" x14ac:dyDescent="0.25">
      <c r="B1482" t="str">
        <f t="shared" si="23"/>
        <v>01</v>
      </c>
    </row>
    <row r="1483" spans="2:2" x14ac:dyDescent="0.25">
      <c r="B1483" t="str">
        <f t="shared" si="23"/>
        <v>01</v>
      </c>
    </row>
    <row r="1484" spans="2:2" x14ac:dyDescent="0.25">
      <c r="B1484" t="str">
        <f t="shared" si="23"/>
        <v>01</v>
      </c>
    </row>
    <row r="1485" spans="2:2" x14ac:dyDescent="0.25">
      <c r="B1485" t="str">
        <f t="shared" si="23"/>
        <v>01</v>
      </c>
    </row>
    <row r="1486" spans="2:2" x14ac:dyDescent="0.25">
      <c r="B1486" t="str">
        <f t="shared" si="23"/>
        <v>01</v>
      </c>
    </row>
    <row r="1487" spans="2:2" x14ac:dyDescent="0.25">
      <c r="B1487" t="str">
        <f t="shared" si="23"/>
        <v>01</v>
      </c>
    </row>
    <row r="1488" spans="2:2" x14ac:dyDescent="0.25">
      <c r="B1488" t="str">
        <f t="shared" si="23"/>
        <v>01</v>
      </c>
    </row>
    <row r="1489" spans="2:2" x14ac:dyDescent="0.25">
      <c r="B1489" t="str">
        <f t="shared" si="23"/>
        <v>01</v>
      </c>
    </row>
    <row r="1490" spans="2:2" x14ac:dyDescent="0.25">
      <c r="B1490" t="str">
        <f t="shared" si="23"/>
        <v>01</v>
      </c>
    </row>
    <row r="1491" spans="2:2" x14ac:dyDescent="0.25">
      <c r="B1491" t="str">
        <f t="shared" si="23"/>
        <v>01</v>
      </c>
    </row>
    <row r="1492" spans="2:2" x14ac:dyDescent="0.25">
      <c r="B1492" t="str">
        <f t="shared" si="23"/>
        <v>01</v>
      </c>
    </row>
    <row r="1493" spans="2:2" x14ac:dyDescent="0.25">
      <c r="B1493" t="str">
        <f t="shared" si="23"/>
        <v>01</v>
      </c>
    </row>
    <row r="1494" spans="2:2" x14ac:dyDescent="0.25">
      <c r="B1494" t="str">
        <f t="shared" si="23"/>
        <v>01</v>
      </c>
    </row>
    <row r="1495" spans="2:2" x14ac:dyDescent="0.25">
      <c r="B1495" t="str">
        <f t="shared" si="23"/>
        <v>01</v>
      </c>
    </row>
    <row r="1496" spans="2:2" x14ac:dyDescent="0.25">
      <c r="B1496" t="str">
        <f t="shared" si="23"/>
        <v>01</v>
      </c>
    </row>
    <row r="1497" spans="2:2" x14ac:dyDescent="0.25">
      <c r="B1497" t="str">
        <f t="shared" si="23"/>
        <v>01</v>
      </c>
    </row>
    <row r="1498" spans="2:2" x14ac:dyDescent="0.25">
      <c r="B1498" t="str">
        <f t="shared" si="23"/>
        <v>01</v>
      </c>
    </row>
    <row r="1499" spans="2:2" x14ac:dyDescent="0.25">
      <c r="B1499" t="str">
        <f t="shared" si="23"/>
        <v>01</v>
      </c>
    </row>
    <row r="1500" spans="2:2" x14ac:dyDescent="0.25">
      <c r="B1500" t="str">
        <f t="shared" si="23"/>
        <v>01</v>
      </c>
    </row>
    <row r="1501" spans="2:2" x14ac:dyDescent="0.25">
      <c r="B1501" t="str">
        <f t="shared" si="23"/>
        <v>01</v>
      </c>
    </row>
    <row r="1502" spans="2:2" x14ac:dyDescent="0.25">
      <c r="B1502" t="str">
        <f t="shared" si="23"/>
        <v>01</v>
      </c>
    </row>
    <row r="1503" spans="2:2" x14ac:dyDescent="0.25">
      <c r="B1503" t="str">
        <f t="shared" si="23"/>
        <v>01</v>
      </c>
    </row>
    <row r="1504" spans="2:2" x14ac:dyDescent="0.25">
      <c r="B1504" t="str">
        <f t="shared" si="23"/>
        <v>01</v>
      </c>
    </row>
    <row r="1505" spans="2:2" x14ac:dyDescent="0.25">
      <c r="B1505" t="str">
        <f t="shared" si="23"/>
        <v>01</v>
      </c>
    </row>
    <row r="1506" spans="2:2" x14ac:dyDescent="0.25">
      <c r="B1506" t="str">
        <f t="shared" si="23"/>
        <v>01</v>
      </c>
    </row>
    <row r="1507" spans="2:2" x14ac:dyDescent="0.25">
      <c r="B1507" t="str">
        <f t="shared" si="23"/>
        <v>01</v>
      </c>
    </row>
    <row r="1508" spans="2:2" x14ac:dyDescent="0.25">
      <c r="B1508" t="str">
        <f t="shared" si="23"/>
        <v>01</v>
      </c>
    </row>
    <row r="1509" spans="2:2" x14ac:dyDescent="0.25">
      <c r="B1509" t="str">
        <f t="shared" si="23"/>
        <v>01</v>
      </c>
    </row>
    <row r="1510" spans="2:2" x14ac:dyDescent="0.25">
      <c r="B1510" t="str">
        <f t="shared" si="23"/>
        <v>01</v>
      </c>
    </row>
    <row r="1511" spans="2:2" x14ac:dyDescent="0.25">
      <c r="B1511" t="str">
        <f t="shared" si="23"/>
        <v>01</v>
      </c>
    </row>
    <row r="1512" spans="2:2" x14ac:dyDescent="0.25">
      <c r="B1512" t="str">
        <f t="shared" si="23"/>
        <v>01</v>
      </c>
    </row>
    <row r="1513" spans="2:2" x14ac:dyDescent="0.25">
      <c r="B1513" t="str">
        <f t="shared" si="23"/>
        <v>01</v>
      </c>
    </row>
    <row r="1514" spans="2:2" x14ac:dyDescent="0.25">
      <c r="B1514" t="str">
        <f t="shared" si="23"/>
        <v>01</v>
      </c>
    </row>
    <row r="1515" spans="2:2" x14ac:dyDescent="0.25">
      <c r="B1515" t="str">
        <f t="shared" si="23"/>
        <v>01</v>
      </c>
    </row>
    <row r="1516" spans="2:2" x14ac:dyDescent="0.25">
      <c r="B1516" t="str">
        <f t="shared" si="23"/>
        <v>01</v>
      </c>
    </row>
    <row r="1517" spans="2:2" x14ac:dyDescent="0.25">
      <c r="B1517" t="str">
        <f t="shared" si="23"/>
        <v>01</v>
      </c>
    </row>
    <row r="1518" spans="2:2" x14ac:dyDescent="0.25">
      <c r="B1518" t="str">
        <f t="shared" si="23"/>
        <v>01</v>
      </c>
    </row>
    <row r="1519" spans="2:2" x14ac:dyDescent="0.25">
      <c r="B1519" t="str">
        <f t="shared" si="23"/>
        <v>01</v>
      </c>
    </row>
    <row r="1520" spans="2:2" x14ac:dyDescent="0.25">
      <c r="B1520" t="str">
        <f t="shared" si="23"/>
        <v>01</v>
      </c>
    </row>
    <row r="1521" spans="2:2" x14ac:dyDescent="0.25">
      <c r="B1521" t="str">
        <f t="shared" si="23"/>
        <v>01</v>
      </c>
    </row>
    <row r="1522" spans="2:2" x14ac:dyDescent="0.25">
      <c r="B1522" t="str">
        <f t="shared" si="23"/>
        <v>01</v>
      </c>
    </row>
    <row r="1523" spans="2:2" x14ac:dyDescent="0.25">
      <c r="B1523" t="str">
        <f t="shared" si="23"/>
        <v>01</v>
      </c>
    </row>
    <row r="1524" spans="2:2" x14ac:dyDescent="0.25">
      <c r="B1524" t="str">
        <f t="shared" si="23"/>
        <v>01</v>
      </c>
    </row>
    <row r="1525" spans="2:2" x14ac:dyDescent="0.25">
      <c r="B1525" t="str">
        <f t="shared" si="23"/>
        <v>01</v>
      </c>
    </row>
    <row r="1526" spans="2:2" x14ac:dyDescent="0.25">
      <c r="B1526" t="str">
        <f t="shared" si="23"/>
        <v>01</v>
      </c>
    </row>
    <row r="1527" spans="2:2" x14ac:dyDescent="0.25">
      <c r="B1527" t="str">
        <f t="shared" si="23"/>
        <v>01</v>
      </c>
    </row>
    <row r="1528" spans="2:2" x14ac:dyDescent="0.25">
      <c r="B1528" t="str">
        <f t="shared" si="23"/>
        <v>01</v>
      </c>
    </row>
    <row r="1529" spans="2:2" x14ac:dyDescent="0.25">
      <c r="B1529" t="str">
        <f t="shared" si="23"/>
        <v>01</v>
      </c>
    </row>
    <row r="1530" spans="2:2" x14ac:dyDescent="0.25">
      <c r="B1530" t="str">
        <f t="shared" si="23"/>
        <v>01</v>
      </c>
    </row>
    <row r="1531" spans="2:2" x14ac:dyDescent="0.25">
      <c r="B1531" t="str">
        <f t="shared" si="23"/>
        <v>01</v>
      </c>
    </row>
    <row r="1532" spans="2:2" x14ac:dyDescent="0.25">
      <c r="B1532" t="str">
        <f t="shared" si="23"/>
        <v>01</v>
      </c>
    </row>
    <row r="1533" spans="2:2" x14ac:dyDescent="0.25">
      <c r="B1533" t="str">
        <f t="shared" si="23"/>
        <v>01</v>
      </c>
    </row>
    <row r="1534" spans="2:2" x14ac:dyDescent="0.25">
      <c r="B1534" t="str">
        <f t="shared" si="23"/>
        <v>01</v>
      </c>
    </row>
    <row r="1535" spans="2:2" x14ac:dyDescent="0.25">
      <c r="B1535" t="str">
        <f t="shared" si="23"/>
        <v>01</v>
      </c>
    </row>
    <row r="1536" spans="2:2" x14ac:dyDescent="0.25">
      <c r="B1536" t="str">
        <f t="shared" si="23"/>
        <v>01</v>
      </c>
    </row>
    <row r="1537" spans="2:2" x14ac:dyDescent="0.25">
      <c r="B1537" t="str">
        <f t="shared" si="23"/>
        <v>01</v>
      </c>
    </row>
    <row r="1538" spans="2:2" x14ac:dyDescent="0.25">
      <c r="B1538" t="str">
        <f t="shared" si="23"/>
        <v>01</v>
      </c>
    </row>
    <row r="1539" spans="2:2" x14ac:dyDescent="0.25">
      <c r="B1539" t="str">
        <f t="shared" si="23"/>
        <v>01</v>
      </c>
    </row>
    <row r="1540" spans="2:2" x14ac:dyDescent="0.25">
      <c r="B1540" t="str">
        <f t="shared" si="23"/>
        <v>01</v>
      </c>
    </row>
    <row r="1541" spans="2:2" x14ac:dyDescent="0.25">
      <c r="B1541" t="str">
        <f t="shared" si="23"/>
        <v>01</v>
      </c>
    </row>
    <row r="1542" spans="2:2" x14ac:dyDescent="0.25">
      <c r="B1542" t="str">
        <f t="shared" ref="B1542:B1605" si="24">TEXT(C1542,"MM")</f>
        <v>01</v>
      </c>
    </row>
    <row r="1543" spans="2:2" x14ac:dyDescent="0.25">
      <c r="B1543" t="str">
        <f t="shared" si="24"/>
        <v>01</v>
      </c>
    </row>
    <row r="1544" spans="2:2" x14ac:dyDescent="0.25">
      <c r="B1544" t="str">
        <f t="shared" si="24"/>
        <v>01</v>
      </c>
    </row>
    <row r="1545" spans="2:2" x14ac:dyDescent="0.25">
      <c r="B1545" t="str">
        <f t="shared" si="24"/>
        <v>01</v>
      </c>
    </row>
    <row r="1546" spans="2:2" x14ac:dyDescent="0.25">
      <c r="B1546" t="str">
        <f t="shared" si="24"/>
        <v>01</v>
      </c>
    </row>
    <row r="1547" spans="2:2" x14ac:dyDescent="0.25">
      <c r="B1547" t="str">
        <f t="shared" si="24"/>
        <v>01</v>
      </c>
    </row>
    <row r="1548" spans="2:2" x14ac:dyDescent="0.25">
      <c r="B1548" t="str">
        <f t="shared" si="24"/>
        <v>01</v>
      </c>
    </row>
    <row r="1549" spans="2:2" x14ac:dyDescent="0.25">
      <c r="B1549" t="str">
        <f t="shared" si="24"/>
        <v>01</v>
      </c>
    </row>
    <row r="1550" spans="2:2" x14ac:dyDescent="0.25">
      <c r="B1550" t="str">
        <f t="shared" si="24"/>
        <v>01</v>
      </c>
    </row>
    <row r="1551" spans="2:2" x14ac:dyDescent="0.25">
      <c r="B1551" t="str">
        <f t="shared" si="24"/>
        <v>01</v>
      </c>
    </row>
    <row r="1552" spans="2:2" x14ac:dyDescent="0.25">
      <c r="B1552" t="str">
        <f t="shared" si="24"/>
        <v>01</v>
      </c>
    </row>
    <row r="1553" spans="2:2" x14ac:dyDescent="0.25">
      <c r="B1553" t="str">
        <f t="shared" si="24"/>
        <v>01</v>
      </c>
    </row>
    <row r="1554" spans="2:2" x14ac:dyDescent="0.25">
      <c r="B1554" t="str">
        <f t="shared" si="24"/>
        <v>01</v>
      </c>
    </row>
    <row r="1555" spans="2:2" x14ac:dyDescent="0.25">
      <c r="B1555" t="str">
        <f t="shared" si="24"/>
        <v>01</v>
      </c>
    </row>
    <row r="1556" spans="2:2" x14ac:dyDescent="0.25">
      <c r="B1556" t="str">
        <f t="shared" si="24"/>
        <v>01</v>
      </c>
    </row>
    <row r="1557" spans="2:2" x14ac:dyDescent="0.25">
      <c r="B1557" t="str">
        <f t="shared" si="24"/>
        <v>01</v>
      </c>
    </row>
    <row r="1558" spans="2:2" x14ac:dyDescent="0.25">
      <c r="B1558" t="str">
        <f t="shared" si="24"/>
        <v>01</v>
      </c>
    </row>
    <row r="1559" spans="2:2" x14ac:dyDescent="0.25">
      <c r="B1559" t="str">
        <f t="shared" si="24"/>
        <v>01</v>
      </c>
    </row>
    <row r="1560" spans="2:2" x14ac:dyDescent="0.25">
      <c r="B1560" t="str">
        <f t="shared" si="24"/>
        <v>01</v>
      </c>
    </row>
    <row r="1561" spans="2:2" x14ac:dyDescent="0.25">
      <c r="B1561" t="str">
        <f t="shared" si="24"/>
        <v>01</v>
      </c>
    </row>
    <row r="1562" spans="2:2" x14ac:dyDescent="0.25">
      <c r="B1562" t="str">
        <f t="shared" si="24"/>
        <v>01</v>
      </c>
    </row>
    <row r="1563" spans="2:2" x14ac:dyDescent="0.25">
      <c r="B1563" t="str">
        <f t="shared" si="24"/>
        <v>01</v>
      </c>
    </row>
    <row r="1564" spans="2:2" x14ac:dyDescent="0.25">
      <c r="B1564" t="str">
        <f t="shared" si="24"/>
        <v>01</v>
      </c>
    </row>
    <row r="1565" spans="2:2" x14ac:dyDescent="0.25">
      <c r="B1565" t="str">
        <f t="shared" si="24"/>
        <v>01</v>
      </c>
    </row>
    <row r="1566" spans="2:2" x14ac:dyDescent="0.25">
      <c r="B1566" t="str">
        <f t="shared" si="24"/>
        <v>01</v>
      </c>
    </row>
    <row r="1567" spans="2:2" x14ac:dyDescent="0.25">
      <c r="B1567" t="str">
        <f t="shared" si="24"/>
        <v>01</v>
      </c>
    </row>
    <row r="1568" spans="2:2" x14ac:dyDescent="0.25">
      <c r="B1568" t="str">
        <f t="shared" si="24"/>
        <v>01</v>
      </c>
    </row>
    <row r="1569" spans="2:2" x14ac:dyDescent="0.25">
      <c r="B1569" t="str">
        <f t="shared" si="24"/>
        <v>01</v>
      </c>
    </row>
    <row r="1570" spans="2:2" x14ac:dyDescent="0.25">
      <c r="B1570" t="str">
        <f t="shared" si="24"/>
        <v>01</v>
      </c>
    </row>
    <row r="1571" spans="2:2" x14ac:dyDescent="0.25">
      <c r="B1571" t="str">
        <f t="shared" si="24"/>
        <v>01</v>
      </c>
    </row>
    <row r="1572" spans="2:2" x14ac:dyDescent="0.25">
      <c r="B1572" t="str">
        <f t="shared" si="24"/>
        <v>01</v>
      </c>
    </row>
    <row r="1573" spans="2:2" x14ac:dyDescent="0.25">
      <c r="B1573" t="str">
        <f t="shared" si="24"/>
        <v>01</v>
      </c>
    </row>
    <row r="1574" spans="2:2" x14ac:dyDescent="0.25">
      <c r="B1574" t="str">
        <f t="shared" si="24"/>
        <v>01</v>
      </c>
    </row>
    <row r="1575" spans="2:2" x14ac:dyDescent="0.25">
      <c r="B1575" t="str">
        <f t="shared" si="24"/>
        <v>01</v>
      </c>
    </row>
    <row r="1576" spans="2:2" x14ac:dyDescent="0.25">
      <c r="B1576" t="str">
        <f t="shared" si="24"/>
        <v>01</v>
      </c>
    </row>
    <row r="1577" spans="2:2" x14ac:dyDescent="0.25">
      <c r="B1577" t="str">
        <f t="shared" si="24"/>
        <v>01</v>
      </c>
    </row>
    <row r="1578" spans="2:2" x14ac:dyDescent="0.25">
      <c r="B1578" t="str">
        <f t="shared" si="24"/>
        <v>01</v>
      </c>
    </row>
    <row r="1579" spans="2:2" x14ac:dyDescent="0.25">
      <c r="B1579" t="str">
        <f t="shared" si="24"/>
        <v>01</v>
      </c>
    </row>
    <row r="1580" spans="2:2" x14ac:dyDescent="0.25">
      <c r="B1580" t="str">
        <f t="shared" si="24"/>
        <v>01</v>
      </c>
    </row>
    <row r="1581" spans="2:2" x14ac:dyDescent="0.25">
      <c r="B1581" t="str">
        <f t="shared" si="24"/>
        <v>01</v>
      </c>
    </row>
    <row r="1582" spans="2:2" x14ac:dyDescent="0.25">
      <c r="B1582" t="str">
        <f t="shared" si="24"/>
        <v>01</v>
      </c>
    </row>
    <row r="1583" spans="2:2" x14ac:dyDescent="0.25">
      <c r="B1583" t="str">
        <f t="shared" si="24"/>
        <v>01</v>
      </c>
    </row>
    <row r="1584" spans="2:2" x14ac:dyDescent="0.25">
      <c r="B1584" t="str">
        <f t="shared" si="24"/>
        <v>01</v>
      </c>
    </row>
    <row r="1585" spans="2:2" x14ac:dyDescent="0.25">
      <c r="B1585" t="str">
        <f t="shared" si="24"/>
        <v>01</v>
      </c>
    </row>
    <row r="1586" spans="2:2" x14ac:dyDescent="0.25">
      <c r="B1586" t="str">
        <f t="shared" si="24"/>
        <v>01</v>
      </c>
    </row>
    <row r="1587" spans="2:2" x14ac:dyDescent="0.25">
      <c r="B1587" t="str">
        <f t="shared" si="24"/>
        <v>01</v>
      </c>
    </row>
    <row r="1588" spans="2:2" x14ac:dyDescent="0.25">
      <c r="B1588" t="str">
        <f t="shared" si="24"/>
        <v>01</v>
      </c>
    </row>
    <row r="1589" spans="2:2" x14ac:dyDescent="0.25">
      <c r="B1589" t="str">
        <f t="shared" si="24"/>
        <v>01</v>
      </c>
    </row>
    <row r="1590" spans="2:2" x14ac:dyDescent="0.25">
      <c r="B1590" t="str">
        <f t="shared" si="24"/>
        <v>01</v>
      </c>
    </row>
    <row r="1591" spans="2:2" x14ac:dyDescent="0.25">
      <c r="B1591" t="str">
        <f t="shared" si="24"/>
        <v>01</v>
      </c>
    </row>
    <row r="1592" spans="2:2" x14ac:dyDescent="0.25">
      <c r="B1592" t="str">
        <f t="shared" si="24"/>
        <v>01</v>
      </c>
    </row>
    <row r="1593" spans="2:2" x14ac:dyDescent="0.25">
      <c r="B1593" t="str">
        <f t="shared" si="24"/>
        <v>01</v>
      </c>
    </row>
    <row r="1594" spans="2:2" x14ac:dyDescent="0.25">
      <c r="B1594" t="str">
        <f t="shared" si="24"/>
        <v>01</v>
      </c>
    </row>
    <row r="1595" spans="2:2" x14ac:dyDescent="0.25">
      <c r="B1595" t="str">
        <f t="shared" si="24"/>
        <v>01</v>
      </c>
    </row>
    <row r="1596" spans="2:2" x14ac:dyDescent="0.25">
      <c r="B1596" t="str">
        <f t="shared" si="24"/>
        <v>01</v>
      </c>
    </row>
    <row r="1597" spans="2:2" x14ac:dyDescent="0.25">
      <c r="B1597" t="str">
        <f t="shared" si="24"/>
        <v>01</v>
      </c>
    </row>
    <row r="1598" spans="2:2" x14ac:dyDescent="0.25">
      <c r="B1598" t="str">
        <f t="shared" si="24"/>
        <v>01</v>
      </c>
    </row>
    <row r="1599" spans="2:2" x14ac:dyDescent="0.25">
      <c r="B1599" t="str">
        <f t="shared" si="24"/>
        <v>01</v>
      </c>
    </row>
    <row r="1600" spans="2:2" x14ac:dyDescent="0.25">
      <c r="B1600" t="str">
        <f t="shared" si="24"/>
        <v>01</v>
      </c>
    </row>
    <row r="1601" spans="2:2" x14ac:dyDescent="0.25">
      <c r="B1601" t="str">
        <f t="shared" si="24"/>
        <v>01</v>
      </c>
    </row>
    <row r="1602" spans="2:2" x14ac:dyDescent="0.25">
      <c r="B1602" t="str">
        <f t="shared" si="24"/>
        <v>01</v>
      </c>
    </row>
    <row r="1603" spans="2:2" x14ac:dyDescent="0.25">
      <c r="B1603" t="str">
        <f t="shared" si="24"/>
        <v>01</v>
      </c>
    </row>
    <row r="1604" spans="2:2" x14ac:dyDescent="0.25">
      <c r="B1604" t="str">
        <f t="shared" si="24"/>
        <v>01</v>
      </c>
    </row>
    <row r="1605" spans="2:2" x14ac:dyDescent="0.25">
      <c r="B1605" t="str">
        <f t="shared" si="24"/>
        <v>01</v>
      </c>
    </row>
    <row r="1606" spans="2:2" x14ac:dyDescent="0.25">
      <c r="B1606" t="str">
        <f t="shared" ref="B1606:B1669" si="25">TEXT(C1606,"MM")</f>
        <v>01</v>
      </c>
    </row>
    <row r="1607" spans="2:2" x14ac:dyDescent="0.25">
      <c r="B1607" t="str">
        <f t="shared" si="25"/>
        <v>01</v>
      </c>
    </row>
    <row r="1608" spans="2:2" x14ac:dyDescent="0.25">
      <c r="B1608" t="str">
        <f t="shared" si="25"/>
        <v>01</v>
      </c>
    </row>
    <row r="1609" spans="2:2" x14ac:dyDescent="0.25">
      <c r="B1609" t="str">
        <f t="shared" si="25"/>
        <v>01</v>
      </c>
    </row>
    <row r="1610" spans="2:2" x14ac:dyDescent="0.25">
      <c r="B1610" t="str">
        <f t="shared" si="25"/>
        <v>01</v>
      </c>
    </row>
    <row r="1611" spans="2:2" x14ac:dyDescent="0.25">
      <c r="B1611" t="str">
        <f t="shared" si="25"/>
        <v>01</v>
      </c>
    </row>
    <row r="1612" spans="2:2" x14ac:dyDescent="0.25">
      <c r="B1612" t="str">
        <f t="shared" si="25"/>
        <v>01</v>
      </c>
    </row>
    <row r="1613" spans="2:2" x14ac:dyDescent="0.25">
      <c r="B1613" t="str">
        <f t="shared" si="25"/>
        <v>01</v>
      </c>
    </row>
    <row r="1614" spans="2:2" x14ac:dyDescent="0.25">
      <c r="B1614" t="str">
        <f t="shared" si="25"/>
        <v>01</v>
      </c>
    </row>
    <row r="1615" spans="2:2" x14ac:dyDescent="0.25">
      <c r="B1615" t="str">
        <f t="shared" si="25"/>
        <v>01</v>
      </c>
    </row>
    <row r="1616" spans="2:2" x14ac:dyDescent="0.25">
      <c r="B1616" t="str">
        <f t="shared" si="25"/>
        <v>01</v>
      </c>
    </row>
    <row r="1617" spans="2:2" x14ac:dyDescent="0.25">
      <c r="B1617" t="str">
        <f t="shared" si="25"/>
        <v>01</v>
      </c>
    </row>
    <row r="1618" spans="2:2" x14ac:dyDescent="0.25">
      <c r="B1618" t="str">
        <f t="shared" si="25"/>
        <v>01</v>
      </c>
    </row>
    <row r="1619" spans="2:2" x14ac:dyDescent="0.25">
      <c r="B1619" t="str">
        <f t="shared" si="25"/>
        <v>01</v>
      </c>
    </row>
    <row r="1620" spans="2:2" x14ac:dyDescent="0.25">
      <c r="B1620" t="str">
        <f t="shared" si="25"/>
        <v>01</v>
      </c>
    </row>
    <row r="1621" spans="2:2" x14ac:dyDescent="0.25">
      <c r="B1621" t="str">
        <f t="shared" si="25"/>
        <v>01</v>
      </c>
    </row>
    <row r="1622" spans="2:2" x14ac:dyDescent="0.25">
      <c r="B1622" t="str">
        <f t="shared" si="25"/>
        <v>01</v>
      </c>
    </row>
    <row r="1623" spans="2:2" x14ac:dyDescent="0.25">
      <c r="B1623" t="str">
        <f t="shared" si="25"/>
        <v>01</v>
      </c>
    </row>
    <row r="1624" spans="2:2" x14ac:dyDescent="0.25">
      <c r="B1624" t="str">
        <f t="shared" si="25"/>
        <v>01</v>
      </c>
    </row>
    <row r="1625" spans="2:2" x14ac:dyDescent="0.25">
      <c r="B1625" t="str">
        <f t="shared" si="25"/>
        <v>01</v>
      </c>
    </row>
    <row r="1626" spans="2:2" x14ac:dyDescent="0.25">
      <c r="B1626" t="str">
        <f t="shared" si="25"/>
        <v>01</v>
      </c>
    </row>
    <row r="1627" spans="2:2" x14ac:dyDescent="0.25">
      <c r="B1627" t="str">
        <f t="shared" si="25"/>
        <v>01</v>
      </c>
    </row>
    <row r="1628" spans="2:2" x14ac:dyDescent="0.25">
      <c r="B1628" t="str">
        <f t="shared" si="25"/>
        <v>01</v>
      </c>
    </row>
    <row r="1629" spans="2:2" x14ac:dyDescent="0.25">
      <c r="B1629" t="str">
        <f t="shared" si="25"/>
        <v>01</v>
      </c>
    </row>
    <row r="1630" spans="2:2" x14ac:dyDescent="0.25">
      <c r="B1630" t="str">
        <f t="shared" si="25"/>
        <v>01</v>
      </c>
    </row>
    <row r="1631" spans="2:2" x14ac:dyDescent="0.25">
      <c r="B1631" t="str">
        <f t="shared" si="25"/>
        <v>01</v>
      </c>
    </row>
    <row r="1632" spans="2:2" x14ac:dyDescent="0.25">
      <c r="B1632" t="str">
        <f t="shared" si="25"/>
        <v>01</v>
      </c>
    </row>
    <row r="1633" spans="2:2" x14ac:dyDescent="0.25">
      <c r="B1633" t="str">
        <f t="shared" si="25"/>
        <v>01</v>
      </c>
    </row>
    <row r="1634" spans="2:2" x14ac:dyDescent="0.25">
      <c r="B1634" t="str">
        <f t="shared" si="25"/>
        <v>01</v>
      </c>
    </row>
    <row r="1635" spans="2:2" x14ac:dyDescent="0.25">
      <c r="B1635" t="str">
        <f t="shared" si="25"/>
        <v>01</v>
      </c>
    </row>
    <row r="1636" spans="2:2" x14ac:dyDescent="0.25">
      <c r="B1636" t="str">
        <f t="shared" si="25"/>
        <v>01</v>
      </c>
    </row>
    <row r="1637" spans="2:2" x14ac:dyDescent="0.25">
      <c r="B1637" t="str">
        <f t="shared" si="25"/>
        <v>01</v>
      </c>
    </row>
    <row r="1638" spans="2:2" x14ac:dyDescent="0.25">
      <c r="B1638" t="str">
        <f t="shared" si="25"/>
        <v>01</v>
      </c>
    </row>
    <row r="1639" spans="2:2" x14ac:dyDescent="0.25">
      <c r="B1639" t="str">
        <f t="shared" si="25"/>
        <v>01</v>
      </c>
    </row>
    <row r="1640" spans="2:2" x14ac:dyDescent="0.25">
      <c r="B1640" t="str">
        <f t="shared" si="25"/>
        <v>01</v>
      </c>
    </row>
    <row r="1641" spans="2:2" x14ac:dyDescent="0.25">
      <c r="B1641" t="str">
        <f t="shared" si="25"/>
        <v>01</v>
      </c>
    </row>
    <row r="1642" spans="2:2" x14ac:dyDescent="0.25">
      <c r="B1642" t="str">
        <f t="shared" si="25"/>
        <v>01</v>
      </c>
    </row>
    <row r="1643" spans="2:2" x14ac:dyDescent="0.25">
      <c r="B1643" t="str">
        <f t="shared" si="25"/>
        <v>01</v>
      </c>
    </row>
    <row r="1644" spans="2:2" x14ac:dyDescent="0.25">
      <c r="B1644" t="str">
        <f t="shared" si="25"/>
        <v>01</v>
      </c>
    </row>
    <row r="1645" spans="2:2" x14ac:dyDescent="0.25">
      <c r="B1645" t="str">
        <f t="shared" si="25"/>
        <v>01</v>
      </c>
    </row>
    <row r="1646" spans="2:2" x14ac:dyDescent="0.25">
      <c r="B1646" t="str">
        <f t="shared" si="25"/>
        <v>01</v>
      </c>
    </row>
    <row r="1647" spans="2:2" x14ac:dyDescent="0.25">
      <c r="B1647" t="str">
        <f t="shared" si="25"/>
        <v>01</v>
      </c>
    </row>
    <row r="1648" spans="2:2" x14ac:dyDescent="0.25">
      <c r="B1648" t="str">
        <f t="shared" si="25"/>
        <v>01</v>
      </c>
    </row>
    <row r="1649" spans="2:2" x14ac:dyDescent="0.25">
      <c r="B1649" t="str">
        <f t="shared" si="25"/>
        <v>01</v>
      </c>
    </row>
    <row r="1650" spans="2:2" x14ac:dyDescent="0.25">
      <c r="B1650" t="str">
        <f t="shared" si="25"/>
        <v>01</v>
      </c>
    </row>
    <row r="1651" spans="2:2" x14ac:dyDescent="0.25">
      <c r="B1651" t="str">
        <f t="shared" si="25"/>
        <v>01</v>
      </c>
    </row>
    <row r="1652" spans="2:2" x14ac:dyDescent="0.25">
      <c r="B1652" t="str">
        <f t="shared" si="25"/>
        <v>01</v>
      </c>
    </row>
    <row r="1653" spans="2:2" x14ac:dyDescent="0.25">
      <c r="B1653" t="str">
        <f t="shared" si="25"/>
        <v>01</v>
      </c>
    </row>
    <row r="1654" spans="2:2" x14ac:dyDescent="0.25">
      <c r="B1654" t="str">
        <f t="shared" si="25"/>
        <v>01</v>
      </c>
    </row>
    <row r="1655" spans="2:2" x14ac:dyDescent="0.25">
      <c r="B1655" t="str">
        <f t="shared" si="25"/>
        <v>01</v>
      </c>
    </row>
    <row r="1656" spans="2:2" x14ac:dyDescent="0.25">
      <c r="B1656" t="str">
        <f t="shared" si="25"/>
        <v>01</v>
      </c>
    </row>
    <row r="1657" spans="2:2" x14ac:dyDescent="0.25">
      <c r="B1657" t="str">
        <f t="shared" si="25"/>
        <v>01</v>
      </c>
    </row>
    <row r="1658" spans="2:2" x14ac:dyDescent="0.25">
      <c r="B1658" t="str">
        <f t="shared" si="25"/>
        <v>01</v>
      </c>
    </row>
    <row r="1659" spans="2:2" x14ac:dyDescent="0.25">
      <c r="B1659" t="str">
        <f t="shared" si="25"/>
        <v>01</v>
      </c>
    </row>
    <row r="1660" spans="2:2" x14ac:dyDescent="0.25">
      <c r="B1660" t="str">
        <f t="shared" si="25"/>
        <v>01</v>
      </c>
    </row>
    <row r="1661" spans="2:2" x14ac:dyDescent="0.25">
      <c r="B1661" t="str">
        <f t="shared" si="25"/>
        <v>01</v>
      </c>
    </row>
    <row r="1662" spans="2:2" x14ac:dyDescent="0.25">
      <c r="B1662" t="str">
        <f t="shared" si="25"/>
        <v>01</v>
      </c>
    </row>
    <row r="1663" spans="2:2" x14ac:dyDescent="0.25">
      <c r="B1663" t="str">
        <f t="shared" si="25"/>
        <v>01</v>
      </c>
    </row>
    <row r="1664" spans="2:2" x14ac:dyDescent="0.25">
      <c r="B1664" t="str">
        <f t="shared" si="25"/>
        <v>01</v>
      </c>
    </row>
    <row r="1665" spans="2:2" x14ac:dyDescent="0.25">
      <c r="B1665" t="str">
        <f t="shared" si="25"/>
        <v>01</v>
      </c>
    </row>
    <row r="1666" spans="2:2" x14ac:dyDescent="0.25">
      <c r="B1666" t="str">
        <f t="shared" si="25"/>
        <v>01</v>
      </c>
    </row>
    <row r="1667" spans="2:2" x14ac:dyDescent="0.25">
      <c r="B1667" t="str">
        <f t="shared" si="25"/>
        <v>01</v>
      </c>
    </row>
    <row r="1668" spans="2:2" x14ac:dyDescent="0.25">
      <c r="B1668" t="str">
        <f t="shared" si="25"/>
        <v>01</v>
      </c>
    </row>
    <row r="1669" spans="2:2" x14ac:dyDescent="0.25">
      <c r="B1669" t="str">
        <f t="shared" si="25"/>
        <v>01</v>
      </c>
    </row>
    <row r="1670" spans="2:2" x14ac:dyDescent="0.25">
      <c r="B1670" t="str">
        <f t="shared" ref="B1670:B1733" si="26">TEXT(C1670,"MM")</f>
        <v>01</v>
      </c>
    </row>
    <row r="1671" spans="2:2" x14ac:dyDescent="0.25">
      <c r="B1671" t="str">
        <f t="shared" si="26"/>
        <v>01</v>
      </c>
    </row>
    <row r="1672" spans="2:2" x14ac:dyDescent="0.25">
      <c r="B1672" t="str">
        <f t="shared" si="26"/>
        <v>01</v>
      </c>
    </row>
    <row r="1673" spans="2:2" x14ac:dyDescent="0.25">
      <c r="B1673" t="str">
        <f t="shared" si="26"/>
        <v>01</v>
      </c>
    </row>
    <row r="1674" spans="2:2" x14ac:dyDescent="0.25">
      <c r="B1674" t="str">
        <f t="shared" si="26"/>
        <v>01</v>
      </c>
    </row>
    <row r="1675" spans="2:2" x14ac:dyDescent="0.25">
      <c r="B1675" t="str">
        <f t="shared" si="26"/>
        <v>01</v>
      </c>
    </row>
    <row r="1676" spans="2:2" x14ac:dyDescent="0.25">
      <c r="B1676" t="str">
        <f t="shared" si="26"/>
        <v>01</v>
      </c>
    </row>
    <row r="1677" spans="2:2" x14ac:dyDescent="0.25">
      <c r="B1677" t="str">
        <f t="shared" si="26"/>
        <v>01</v>
      </c>
    </row>
    <row r="1678" spans="2:2" x14ac:dyDescent="0.25">
      <c r="B1678" t="str">
        <f t="shared" si="26"/>
        <v>01</v>
      </c>
    </row>
    <row r="1679" spans="2:2" x14ac:dyDescent="0.25">
      <c r="B1679" t="str">
        <f t="shared" si="26"/>
        <v>01</v>
      </c>
    </row>
    <row r="1680" spans="2:2" x14ac:dyDescent="0.25">
      <c r="B1680" t="str">
        <f t="shared" si="26"/>
        <v>01</v>
      </c>
    </row>
    <row r="1681" spans="2:2" x14ac:dyDescent="0.25">
      <c r="B1681" t="str">
        <f t="shared" si="26"/>
        <v>01</v>
      </c>
    </row>
    <row r="1682" spans="2:2" x14ac:dyDescent="0.25">
      <c r="B1682" t="str">
        <f t="shared" si="26"/>
        <v>01</v>
      </c>
    </row>
    <row r="1683" spans="2:2" x14ac:dyDescent="0.25">
      <c r="B1683" t="str">
        <f t="shared" si="26"/>
        <v>01</v>
      </c>
    </row>
    <row r="1684" spans="2:2" x14ac:dyDescent="0.25">
      <c r="B1684" t="str">
        <f t="shared" si="26"/>
        <v>01</v>
      </c>
    </row>
    <row r="1685" spans="2:2" x14ac:dyDescent="0.25">
      <c r="B1685" t="str">
        <f t="shared" si="26"/>
        <v>01</v>
      </c>
    </row>
    <row r="1686" spans="2:2" x14ac:dyDescent="0.25">
      <c r="B1686" t="str">
        <f t="shared" si="26"/>
        <v>01</v>
      </c>
    </row>
    <row r="1687" spans="2:2" x14ac:dyDescent="0.25">
      <c r="B1687" t="str">
        <f t="shared" si="26"/>
        <v>01</v>
      </c>
    </row>
    <row r="1688" spans="2:2" x14ac:dyDescent="0.25">
      <c r="B1688" t="str">
        <f t="shared" si="26"/>
        <v>01</v>
      </c>
    </row>
    <row r="1689" spans="2:2" x14ac:dyDescent="0.25">
      <c r="B1689" t="str">
        <f t="shared" si="26"/>
        <v>01</v>
      </c>
    </row>
    <row r="1690" spans="2:2" x14ac:dyDescent="0.25">
      <c r="B1690" t="str">
        <f t="shared" si="26"/>
        <v>01</v>
      </c>
    </row>
    <row r="1691" spans="2:2" x14ac:dyDescent="0.25">
      <c r="B1691" t="str">
        <f t="shared" si="26"/>
        <v>01</v>
      </c>
    </row>
    <row r="1692" spans="2:2" x14ac:dyDescent="0.25">
      <c r="B1692" t="str">
        <f t="shared" si="26"/>
        <v>01</v>
      </c>
    </row>
    <row r="1693" spans="2:2" x14ac:dyDescent="0.25">
      <c r="B1693" t="str">
        <f t="shared" si="26"/>
        <v>01</v>
      </c>
    </row>
    <row r="1694" spans="2:2" x14ac:dyDescent="0.25">
      <c r="B1694" t="str">
        <f t="shared" si="26"/>
        <v>01</v>
      </c>
    </row>
    <row r="1695" spans="2:2" x14ac:dyDescent="0.25">
      <c r="B1695" t="str">
        <f t="shared" si="26"/>
        <v>01</v>
      </c>
    </row>
    <row r="1696" spans="2:2" x14ac:dyDescent="0.25">
      <c r="B1696" t="str">
        <f t="shared" si="26"/>
        <v>01</v>
      </c>
    </row>
    <row r="1697" spans="2:2" x14ac:dyDescent="0.25">
      <c r="B1697" t="str">
        <f t="shared" si="26"/>
        <v>01</v>
      </c>
    </row>
    <row r="1698" spans="2:2" x14ac:dyDescent="0.25">
      <c r="B1698" t="str">
        <f t="shared" si="26"/>
        <v>01</v>
      </c>
    </row>
    <row r="1699" spans="2:2" x14ac:dyDescent="0.25">
      <c r="B1699" t="str">
        <f t="shared" si="26"/>
        <v>01</v>
      </c>
    </row>
    <row r="1700" spans="2:2" x14ac:dyDescent="0.25">
      <c r="B1700" t="str">
        <f t="shared" si="26"/>
        <v>01</v>
      </c>
    </row>
    <row r="1701" spans="2:2" x14ac:dyDescent="0.25">
      <c r="B1701" t="str">
        <f t="shared" si="26"/>
        <v>01</v>
      </c>
    </row>
    <row r="1702" spans="2:2" x14ac:dyDescent="0.25">
      <c r="B1702" t="str">
        <f t="shared" si="26"/>
        <v>01</v>
      </c>
    </row>
    <row r="1703" spans="2:2" x14ac:dyDescent="0.25">
      <c r="B1703" t="str">
        <f t="shared" si="26"/>
        <v>01</v>
      </c>
    </row>
    <row r="1704" spans="2:2" x14ac:dyDescent="0.25">
      <c r="B1704" t="str">
        <f t="shared" si="26"/>
        <v>01</v>
      </c>
    </row>
    <row r="1705" spans="2:2" x14ac:dyDescent="0.25">
      <c r="B1705" t="str">
        <f t="shared" si="26"/>
        <v>01</v>
      </c>
    </row>
    <row r="1706" spans="2:2" x14ac:dyDescent="0.25">
      <c r="B1706" t="str">
        <f t="shared" si="26"/>
        <v>01</v>
      </c>
    </row>
    <row r="1707" spans="2:2" x14ac:dyDescent="0.25">
      <c r="B1707" t="str">
        <f t="shared" si="26"/>
        <v>01</v>
      </c>
    </row>
    <row r="1708" spans="2:2" x14ac:dyDescent="0.25">
      <c r="B1708" t="str">
        <f t="shared" si="26"/>
        <v>01</v>
      </c>
    </row>
    <row r="1709" spans="2:2" x14ac:dyDescent="0.25">
      <c r="B1709" t="str">
        <f t="shared" si="26"/>
        <v>01</v>
      </c>
    </row>
    <row r="1710" spans="2:2" x14ac:dyDescent="0.25">
      <c r="B1710" t="str">
        <f t="shared" si="26"/>
        <v>01</v>
      </c>
    </row>
    <row r="1711" spans="2:2" x14ac:dyDescent="0.25">
      <c r="B1711" t="str">
        <f t="shared" si="26"/>
        <v>01</v>
      </c>
    </row>
    <row r="1712" spans="2:2" x14ac:dyDescent="0.25">
      <c r="B1712" t="str">
        <f t="shared" si="26"/>
        <v>01</v>
      </c>
    </row>
    <row r="1713" spans="2:2" x14ac:dyDescent="0.25">
      <c r="B1713" t="str">
        <f t="shared" si="26"/>
        <v>01</v>
      </c>
    </row>
    <row r="1714" spans="2:2" x14ac:dyDescent="0.25">
      <c r="B1714" t="str">
        <f t="shared" si="26"/>
        <v>01</v>
      </c>
    </row>
    <row r="1715" spans="2:2" x14ac:dyDescent="0.25">
      <c r="B1715" t="str">
        <f t="shared" si="26"/>
        <v>01</v>
      </c>
    </row>
    <row r="1716" spans="2:2" x14ac:dyDescent="0.25">
      <c r="B1716" t="str">
        <f t="shared" si="26"/>
        <v>01</v>
      </c>
    </row>
    <row r="1717" spans="2:2" x14ac:dyDescent="0.25">
      <c r="B1717" t="str">
        <f t="shared" si="26"/>
        <v>01</v>
      </c>
    </row>
    <row r="1718" spans="2:2" x14ac:dyDescent="0.25">
      <c r="B1718" t="str">
        <f t="shared" si="26"/>
        <v>01</v>
      </c>
    </row>
    <row r="1719" spans="2:2" x14ac:dyDescent="0.25">
      <c r="B1719" t="str">
        <f t="shared" si="26"/>
        <v>01</v>
      </c>
    </row>
    <row r="1720" spans="2:2" x14ac:dyDescent="0.25">
      <c r="B1720" t="str">
        <f t="shared" si="26"/>
        <v>01</v>
      </c>
    </row>
    <row r="1721" spans="2:2" x14ac:dyDescent="0.25">
      <c r="B1721" t="str">
        <f t="shared" si="26"/>
        <v>01</v>
      </c>
    </row>
    <row r="1722" spans="2:2" x14ac:dyDescent="0.25">
      <c r="B1722" t="str">
        <f t="shared" si="26"/>
        <v>01</v>
      </c>
    </row>
    <row r="1723" spans="2:2" x14ac:dyDescent="0.25">
      <c r="B1723" t="str">
        <f t="shared" si="26"/>
        <v>01</v>
      </c>
    </row>
    <row r="1724" spans="2:2" x14ac:dyDescent="0.25">
      <c r="B1724" t="str">
        <f t="shared" si="26"/>
        <v>01</v>
      </c>
    </row>
    <row r="1725" spans="2:2" x14ac:dyDescent="0.25">
      <c r="B1725" t="str">
        <f t="shared" si="26"/>
        <v>01</v>
      </c>
    </row>
    <row r="1726" spans="2:2" x14ac:dyDescent="0.25">
      <c r="B1726" t="str">
        <f t="shared" si="26"/>
        <v>01</v>
      </c>
    </row>
    <row r="1727" spans="2:2" x14ac:dyDescent="0.25">
      <c r="B1727" t="str">
        <f t="shared" si="26"/>
        <v>01</v>
      </c>
    </row>
    <row r="1728" spans="2:2" x14ac:dyDescent="0.25">
      <c r="B1728" t="str">
        <f t="shared" si="26"/>
        <v>01</v>
      </c>
    </row>
    <row r="1729" spans="2:2" x14ac:dyDescent="0.25">
      <c r="B1729" t="str">
        <f t="shared" si="26"/>
        <v>01</v>
      </c>
    </row>
    <row r="1730" spans="2:2" x14ac:dyDescent="0.25">
      <c r="B1730" t="str">
        <f t="shared" si="26"/>
        <v>01</v>
      </c>
    </row>
    <row r="1731" spans="2:2" x14ac:dyDescent="0.25">
      <c r="B1731" t="str">
        <f t="shared" si="26"/>
        <v>01</v>
      </c>
    </row>
    <row r="1732" spans="2:2" x14ac:dyDescent="0.25">
      <c r="B1732" t="str">
        <f t="shared" si="26"/>
        <v>01</v>
      </c>
    </row>
    <row r="1733" spans="2:2" x14ac:dyDescent="0.25">
      <c r="B1733" t="str">
        <f t="shared" si="26"/>
        <v>01</v>
      </c>
    </row>
    <row r="1734" spans="2:2" x14ac:dyDescent="0.25">
      <c r="B1734" t="str">
        <f t="shared" ref="B1734:B1797" si="27">TEXT(C1734,"MM")</f>
        <v>01</v>
      </c>
    </row>
    <row r="1735" spans="2:2" x14ac:dyDescent="0.25">
      <c r="B1735" t="str">
        <f t="shared" si="27"/>
        <v>01</v>
      </c>
    </row>
    <row r="1736" spans="2:2" x14ac:dyDescent="0.25">
      <c r="B1736" t="str">
        <f t="shared" si="27"/>
        <v>01</v>
      </c>
    </row>
    <row r="1737" spans="2:2" x14ac:dyDescent="0.25">
      <c r="B1737" t="str">
        <f t="shared" si="27"/>
        <v>01</v>
      </c>
    </row>
    <row r="1738" spans="2:2" x14ac:dyDescent="0.25">
      <c r="B1738" t="str">
        <f t="shared" si="27"/>
        <v>01</v>
      </c>
    </row>
    <row r="1739" spans="2:2" x14ac:dyDescent="0.25">
      <c r="B1739" t="str">
        <f t="shared" si="27"/>
        <v>01</v>
      </c>
    </row>
    <row r="1740" spans="2:2" x14ac:dyDescent="0.25">
      <c r="B1740" t="str">
        <f t="shared" si="27"/>
        <v>01</v>
      </c>
    </row>
    <row r="1741" spans="2:2" x14ac:dyDescent="0.25">
      <c r="B1741" t="str">
        <f t="shared" si="27"/>
        <v>01</v>
      </c>
    </row>
    <row r="1742" spans="2:2" x14ac:dyDescent="0.25">
      <c r="B1742" t="str">
        <f t="shared" si="27"/>
        <v>01</v>
      </c>
    </row>
    <row r="1743" spans="2:2" x14ac:dyDescent="0.25">
      <c r="B1743" t="str">
        <f t="shared" si="27"/>
        <v>01</v>
      </c>
    </row>
    <row r="1744" spans="2:2" x14ac:dyDescent="0.25">
      <c r="B1744" t="str">
        <f t="shared" si="27"/>
        <v>01</v>
      </c>
    </row>
    <row r="1745" spans="2:2" x14ac:dyDescent="0.25">
      <c r="B1745" t="str">
        <f t="shared" si="27"/>
        <v>01</v>
      </c>
    </row>
    <row r="1746" spans="2:2" x14ac:dyDescent="0.25">
      <c r="B1746" t="str">
        <f t="shared" si="27"/>
        <v>01</v>
      </c>
    </row>
    <row r="1747" spans="2:2" x14ac:dyDescent="0.25">
      <c r="B1747" t="str">
        <f t="shared" si="27"/>
        <v>01</v>
      </c>
    </row>
    <row r="1748" spans="2:2" x14ac:dyDescent="0.25">
      <c r="B1748" t="str">
        <f t="shared" si="27"/>
        <v>01</v>
      </c>
    </row>
    <row r="1749" spans="2:2" x14ac:dyDescent="0.25">
      <c r="B1749" t="str">
        <f t="shared" si="27"/>
        <v>01</v>
      </c>
    </row>
    <row r="1750" spans="2:2" x14ac:dyDescent="0.25">
      <c r="B1750" t="str">
        <f t="shared" si="27"/>
        <v>01</v>
      </c>
    </row>
    <row r="1751" spans="2:2" x14ac:dyDescent="0.25">
      <c r="B1751" t="str">
        <f t="shared" si="27"/>
        <v>01</v>
      </c>
    </row>
    <row r="1752" spans="2:2" x14ac:dyDescent="0.25">
      <c r="B1752" t="str">
        <f t="shared" si="27"/>
        <v>01</v>
      </c>
    </row>
    <row r="1753" spans="2:2" x14ac:dyDescent="0.25">
      <c r="B1753" t="str">
        <f t="shared" si="27"/>
        <v>01</v>
      </c>
    </row>
    <row r="1754" spans="2:2" x14ac:dyDescent="0.25">
      <c r="B1754" t="str">
        <f t="shared" si="27"/>
        <v>01</v>
      </c>
    </row>
    <row r="1755" spans="2:2" x14ac:dyDescent="0.25">
      <c r="B1755" t="str">
        <f t="shared" si="27"/>
        <v>01</v>
      </c>
    </row>
    <row r="1756" spans="2:2" x14ac:dyDescent="0.25">
      <c r="B1756" t="str">
        <f t="shared" si="27"/>
        <v>01</v>
      </c>
    </row>
    <row r="1757" spans="2:2" x14ac:dyDescent="0.25">
      <c r="B1757" t="str">
        <f t="shared" si="27"/>
        <v>01</v>
      </c>
    </row>
    <row r="1758" spans="2:2" x14ac:dyDescent="0.25">
      <c r="B1758" t="str">
        <f t="shared" si="27"/>
        <v>01</v>
      </c>
    </row>
    <row r="1759" spans="2:2" x14ac:dyDescent="0.25">
      <c r="B1759" t="str">
        <f t="shared" si="27"/>
        <v>01</v>
      </c>
    </row>
    <row r="1760" spans="2:2" x14ac:dyDescent="0.25">
      <c r="B1760" t="str">
        <f t="shared" si="27"/>
        <v>01</v>
      </c>
    </row>
    <row r="1761" spans="2:2" x14ac:dyDescent="0.25">
      <c r="B1761" t="str">
        <f t="shared" si="27"/>
        <v>01</v>
      </c>
    </row>
    <row r="1762" spans="2:2" x14ac:dyDescent="0.25">
      <c r="B1762" t="str">
        <f t="shared" si="27"/>
        <v>01</v>
      </c>
    </row>
    <row r="1763" spans="2:2" x14ac:dyDescent="0.25">
      <c r="B1763" t="str">
        <f t="shared" si="27"/>
        <v>01</v>
      </c>
    </row>
    <row r="1764" spans="2:2" x14ac:dyDescent="0.25">
      <c r="B1764" t="str">
        <f t="shared" si="27"/>
        <v>01</v>
      </c>
    </row>
    <row r="1765" spans="2:2" x14ac:dyDescent="0.25">
      <c r="B1765" t="str">
        <f t="shared" si="27"/>
        <v>01</v>
      </c>
    </row>
    <row r="1766" spans="2:2" x14ac:dyDescent="0.25">
      <c r="B1766" t="str">
        <f t="shared" si="27"/>
        <v>01</v>
      </c>
    </row>
    <row r="1767" spans="2:2" x14ac:dyDescent="0.25">
      <c r="B1767" t="str">
        <f t="shared" si="27"/>
        <v>01</v>
      </c>
    </row>
    <row r="1768" spans="2:2" x14ac:dyDescent="0.25">
      <c r="B1768" t="str">
        <f t="shared" si="27"/>
        <v>01</v>
      </c>
    </row>
    <row r="1769" spans="2:2" x14ac:dyDescent="0.25">
      <c r="B1769" t="str">
        <f t="shared" si="27"/>
        <v>01</v>
      </c>
    </row>
    <row r="1770" spans="2:2" x14ac:dyDescent="0.25">
      <c r="B1770" t="str">
        <f t="shared" si="27"/>
        <v>01</v>
      </c>
    </row>
    <row r="1771" spans="2:2" x14ac:dyDescent="0.25">
      <c r="B1771" t="str">
        <f t="shared" si="27"/>
        <v>01</v>
      </c>
    </row>
    <row r="1772" spans="2:2" x14ac:dyDescent="0.25">
      <c r="B1772" t="str">
        <f t="shared" si="27"/>
        <v>01</v>
      </c>
    </row>
    <row r="1773" spans="2:2" x14ac:dyDescent="0.25">
      <c r="B1773" t="str">
        <f t="shared" si="27"/>
        <v>01</v>
      </c>
    </row>
    <row r="1774" spans="2:2" x14ac:dyDescent="0.25">
      <c r="B1774" t="str">
        <f t="shared" si="27"/>
        <v>01</v>
      </c>
    </row>
    <row r="1775" spans="2:2" x14ac:dyDescent="0.25">
      <c r="B1775" t="str">
        <f t="shared" si="27"/>
        <v>01</v>
      </c>
    </row>
    <row r="1776" spans="2:2" x14ac:dyDescent="0.25">
      <c r="B1776" t="str">
        <f t="shared" si="27"/>
        <v>01</v>
      </c>
    </row>
    <row r="1777" spans="2:2" x14ac:dyDescent="0.25">
      <c r="B1777" t="str">
        <f t="shared" si="27"/>
        <v>01</v>
      </c>
    </row>
    <row r="1778" spans="2:2" x14ac:dyDescent="0.25">
      <c r="B1778" t="str">
        <f t="shared" si="27"/>
        <v>01</v>
      </c>
    </row>
    <row r="1779" spans="2:2" x14ac:dyDescent="0.25">
      <c r="B1779" t="str">
        <f t="shared" si="27"/>
        <v>01</v>
      </c>
    </row>
    <row r="1780" spans="2:2" x14ac:dyDescent="0.25">
      <c r="B1780" t="str">
        <f t="shared" si="27"/>
        <v>01</v>
      </c>
    </row>
    <row r="1781" spans="2:2" x14ac:dyDescent="0.25">
      <c r="B1781" t="str">
        <f t="shared" si="27"/>
        <v>01</v>
      </c>
    </row>
    <row r="1782" spans="2:2" x14ac:dyDescent="0.25">
      <c r="B1782" t="str">
        <f t="shared" si="27"/>
        <v>01</v>
      </c>
    </row>
    <row r="1783" spans="2:2" x14ac:dyDescent="0.25">
      <c r="B1783" t="str">
        <f t="shared" si="27"/>
        <v>01</v>
      </c>
    </row>
    <row r="1784" spans="2:2" x14ac:dyDescent="0.25">
      <c r="B1784" t="str">
        <f t="shared" si="27"/>
        <v>01</v>
      </c>
    </row>
    <row r="1785" spans="2:2" x14ac:dyDescent="0.25">
      <c r="B1785" t="str">
        <f t="shared" si="27"/>
        <v>01</v>
      </c>
    </row>
    <row r="1786" spans="2:2" x14ac:dyDescent="0.25">
      <c r="B1786" t="str">
        <f t="shared" si="27"/>
        <v>01</v>
      </c>
    </row>
    <row r="1787" spans="2:2" x14ac:dyDescent="0.25">
      <c r="B1787" t="str">
        <f t="shared" si="27"/>
        <v>01</v>
      </c>
    </row>
    <row r="1788" spans="2:2" x14ac:dyDescent="0.25">
      <c r="B1788" t="str">
        <f t="shared" si="27"/>
        <v>01</v>
      </c>
    </row>
    <row r="1789" spans="2:2" x14ac:dyDescent="0.25">
      <c r="B1789" t="str">
        <f t="shared" si="27"/>
        <v>01</v>
      </c>
    </row>
    <row r="1790" spans="2:2" x14ac:dyDescent="0.25">
      <c r="B1790" t="str">
        <f t="shared" si="27"/>
        <v>01</v>
      </c>
    </row>
    <row r="1791" spans="2:2" x14ac:dyDescent="0.25">
      <c r="B1791" t="str">
        <f t="shared" si="27"/>
        <v>01</v>
      </c>
    </row>
    <row r="1792" spans="2:2" x14ac:dyDescent="0.25">
      <c r="B1792" t="str">
        <f t="shared" si="27"/>
        <v>01</v>
      </c>
    </row>
    <row r="1793" spans="2:2" x14ac:dyDescent="0.25">
      <c r="B1793" t="str">
        <f t="shared" si="27"/>
        <v>01</v>
      </c>
    </row>
    <row r="1794" spans="2:2" x14ac:dyDescent="0.25">
      <c r="B1794" t="str">
        <f t="shared" si="27"/>
        <v>01</v>
      </c>
    </row>
    <row r="1795" spans="2:2" x14ac:dyDescent="0.25">
      <c r="B1795" t="str">
        <f t="shared" si="27"/>
        <v>01</v>
      </c>
    </row>
    <row r="1796" spans="2:2" x14ac:dyDescent="0.25">
      <c r="B1796" t="str">
        <f t="shared" si="27"/>
        <v>01</v>
      </c>
    </row>
    <row r="1797" spans="2:2" x14ac:dyDescent="0.25">
      <c r="B1797" t="str">
        <f t="shared" si="27"/>
        <v>01</v>
      </c>
    </row>
    <row r="1798" spans="2:2" x14ac:dyDescent="0.25">
      <c r="B1798" t="str">
        <f t="shared" ref="B1798:B1861" si="28">TEXT(C1798,"MM")</f>
        <v>01</v>
      </c>
    </row>
    <row r="1799" spans="2:2" x14ac:dyDescent="0.25">
      <c r="B1799" t="str">
        <f t="shared" si="28"/>
        <v>01</v>
      </c>
    </row>
    <row r="1800" spans="2:2" x14ac:dyDescent="0.25">
      <c r="B1800" t="str">
        <f t="shared" si="28"/>
        <v>01</v>
      </c>
    </row>
    <row r="1801" spans="2:2" x14ac:dyDescent="0.25">
      <c r="B1801" t="str">
        <f t="shared" si="28"/>
        <v>01</v>
      </c>
    </row>
    <row r="1802" spans="2:2" x14ac:dyDescent="0.25">
      <c r="B1802" t="str">
        <f t="shared" si="28"/>
        <v>01</v>
      </c>
    </row>
    <row r="1803" spans="2:2" x14ac:dyDescent="0.25">
      <c r="B1803" t="str">
        <f t="shared" si="28"/>
        <v>01</v>
      </c>
    </row>
    <row r="1804" spans="2:2" x14ac:dyDescent="0.25">
      <c r="B1804" t="str">
        <f t="shared" si="28"/>
        <v>01</v>
      </c>
    </row>
    <row r="1805" spans="2:2" x14ac:dyDescent="0.25">
      <c r="B1805" t="str">
        <f t="shared" si="28"/>
        <v>01</v>
      </c>
    </row>
    <row r="1806" spans="2:2" x14ac:dyDescent="0.25">
      <c r="B1806" t="str">
        <f t="shared" si="28"/>
        <v>01</v>
      </c>
    </row>
    <row r="1807" spans="2:2" x14ac:dyDescent="0.25">
      <c r="B1807" t="str">
        <f t="shared" si="28"/>
        <v>01</v>
      </c>
    </row>
    <row r="1808" spans="2:2" x14ac:dyDescent="0.25">
      <c r="B1808" t="str">
        <f t="shared" si="28"/>
        <v>01</v>
      </c>
    </row>
    <row r="1809" spans="2:2" x14ac:dyDescent="0.25">
      <c r="B1809" t="str">
        <f t="shared" si="28"/>
        <v>01</v>
      </c>
    </row>
    <row r="1810" spans="2:2" x14ac:dyDescent="0.25">
      <c r="B1810" t="str">
        <f t="shared" si="28"/>
        <v>01</v>
      </c>
    </row>
    <row r="1811" spans="2:2" x14ac:dyDescent="0.25">
      <c r="B1811" t="str">
        <f t="shared" si="28"/>
        <v>01</v>
      </c>
    </row>
    <row r="1812" spans="2:2" x14ac:dyDescent="0.25">
      <c r="B1812" t="str">
        <f t="shared" si="28"/>
        <v>01</v>
      </c>
    </row>
    <row r="1813" spans="2:2" x14ac:dyDescent="0.25">
      <c r="B1813" t="str">
        <f t="shared" si="28"/>
        <v>01</v>
      </c>
    </row>
    <row r="1814" spans="2:2" x14ac:dyDescent="0.25">
      <c r="B1814" t="str">
        <f t="shared" si="28"/>
        <v>01</v>
      </c>
    </row>
    <row r="1815" spans="2:2" x14ac:dyDescent="0.25">
      <c r="B1815" t="str">
        <f t="shared" si="28"/>
        <v>01</v>
      </c>
    </row>
    <row r="1816" spans="2:2" x14ac:dyDescent="0.25">
      <c r="B1816" t="str">
        <f t="shared" si="28"/>
        <v>01</v>
      </c>
    </row>
    <row r="1817" spans="2:2" x14ac:dyDescent="0.25">
      <c r="B1817" t="str">
        <f t="shared" si="28"/>
        <v>01</v>
      </c>
    </row>
    <row r="1818" spans="2:2" x14ac:dyDescent="0.25">
      <c r="B1818" t="str">
        <f t="shared" si="28"/>
        <v>01</v>
      </c>
    </row>
    <row r="1819" spans="2:2" x14ac:dyDescent="0.25">
      <c r="B1819" t="str">
        <f t="shared" si="28"/>
        <v>01</v>
      </c>
    </row>
    <row r="1820" spans="2:2" x14ac:dyDescent="0.25">
      <c r="B1820" t="str">
        <f t="shared" si="28"/>
        <v>01</v>
      </c>
    </row>
    <row r="1821" spans="2:2" x14ac:dyDescent="0.25">
      <c r="B1821" t="str">
        <f t="shared" si="28"/>
        <v>01</v>
      </c>
    </row>
    <row r="1822" spans="2:2" x14ac:dyDescent="0.25">
      <c r="B1822" t="str">
        <f t="shared" si="28"/>
        <v>01</v>
      </c>
    </row>
    <row r="1823" spans="2:2" x14ac:dyDescent="0.25">
      <c r="B1823" t="str">
        <f t="shared" si="28"/>
        <v>01</v>
      </c>
    </row>
    <row r="1824" spans="2:2" x14ac:dyDescent="0.25">
      <c r="B1824" t="str">
        <f t="shared" si="28"/>
        <v>01</v>
      </c>
    </row>
    <row r="1825" spans="2:2" x14ac:dyDescent="0.25">
      <c r="B1825" t="str">
        <f t="shared" si="28"/>
        <v>01</v>
      </c>
    </row>
    <row r="1826" spans="2:2" x14ac:dyDescent="0.25">
      <c r="B1826" t="str">
        <f t="shared" si="28"/>
        <v>01</v>
      </c>
    </row>
    <row r="1827" spans="2:2" x14ac:dyDescent="0.25">
      <c r="B1827" t="str">
        <f t="shared" si="28"/>
        <v>01</v>
      </c>
    </row>
    <row r="1828" spans="2:2" x14ac:dyDescent="0.25">
      <c r="B1828" t="str">
        <f t="shared" si="28"/>
        <v>01</v>
      </c>
    </row>
    <row r="1829" spans="2:2" x14ac:dyDescent="0.25">
      <c r="B1829" t="str">
        <f t="shared" si="28"/>
        <v>01</v>
      </c>
    </row>
    <row r="1830" spans="2:2" x14ac:dyDescent="0.25">
      <c r="B1830" t="str">
        <f t="shared" si="28"/>
        <v>01</v>
      </c>
    </row>
    <row r="1831" spans="2:2" x14ac:dyDescent="0.25">
      <c r="B1831" t="str">
        <f t="shared" si="28"/>
        <v>01</v>
      </c>
    </row>
    <row r="1832" spans="2:2" x14ac:dyDescent="0.25">
      <c r="B1832" t="str">
        <f t="shared" si="28"/>
        <v>01</v>
      </c>
    </row>
    <row r="1833" spans="2:2" x14ac:dyDescent="0.25">
      <c r="B1833" t="str">
        <f t="shared" si="28"/>
        <v>01</v>
      </c>
    </row>
    <row r="1834" spans="2:2" x14ac:dyDescent="0.25">
      <c r="B1834" t="str">
        <f t="shared" si="28"/>
        <v>01</v>
      </c>
    </row>
    <row r="1835" spans="2:2" x14ac:dyDescent="0.25">
      <c r="B1835" t="str">
        <f t="shared" si="28"/>
        <v>01</v>
      </c>
    </row>
    <row r="1836" spans="2:2" x14ac:dyDescent="0.25">
      <c r="B1836" t="str">
        <f t="shared" si="28"/>
        <v>01</v>
      </c>
    </row>
    <row r="1837" spans="2:2" x14ac:dyDescent="0.25">
      <c r="B1837" t="str">
        <f t="shared" si="28"/>
        <v>01</v>
      </c>
    </row>
    <row r="1838" spans="2:2" x14ac:dyDescent="0.25">
      <c r="B1838" t="str">
        <f t="shared" si="28"/>
        <v>01</v>
      </c>
    </row>
    <row r="1839" spans="2:2" x14ac:dyDescent="0.25">
      <c r="B1839" t="str">
        <f t="shared" si="28"/>
        <v>01</v>
      </c>
    </row>
    <row r="1840" spans="2:2" x14ac:dyDescent="0.25">
      <c r="B1840" t="str">
        <f t="shared" si="28"/>
        <v>01</v>
      </c>
    </row>
    <row r="1841" spans="2:2" x14ac:dyDescent="0.25">
      <c r="B1841" t="str">
        <f t="shared" si="28"/>
        <v>01</v>
      </c>
    </row>
    <row r="1842" spans="2:2" x14ac:dyDescent="0.25">
      <c r="B1842" t="str">
        <f t="shared" si="28"/>
        <v>01</v>
      </c>
    </row>
    <row r="1843" spans="2:2" x14ac:dyDescent="0.25">
      <c r="B1843" t="str">
        <f t="shared" si="28"/>
        <v>01</v>
      </c>
    </row>
    <row r="1844" spans="2:2" x14ac:dyDescent="0.25">
      <c r="B1844" t="str">
        <f t="shared" si="28"/>
        <v>01</v>
      </c>
    </row>
    <row r="1845" spans="2:2" x14ac:dyDescent="0.25">
      <c r="B1845" t="str">
        <f t="shared" si="28"/>
        <v>01</v>
      </c>
    </row>
    <row r="1846" spans="2:2" x14ac:dyDescent="0.25">
      <c r="B1846" t="str">
        <f t="shared" si="28"/>
        <v>01</v>
      </c>
    </row>
    <row r="1847" spans="2:2" x14ac:dyDescent="0.25">
      <c r="B1847" t="str">
        <f t="shared" si="28"/>
        <v>01</v>
      </c>
    </row>
    <row r="1848" spans="2:2" x14ac:dyDescent="0.25">
      <c r="B1848" t="str">
        <f t="shared" si="28"/>
        <v>01</v>
      </c>
    </row>
    <row r="1849" spans="2:2" x14ac:dyDescent="0.25">
      <c r="B1849" t="str">
        <f t="shared" si="28"/>
        <v>01</v>
      </c>
    </row>
    <row r="1850" spans="2:2" x14ac:dyDescent="0.25">
      <c r="B1850" t="str">
        <f t="shared" si="28"/>
        <v>01</v>
      </c>
    </row>
    <row r="1851" spans="2:2" x14ac:dyDescent="0.25">
      <c r="B1851" t="str">
        <f t="shared" si="28"/>
        <v>01</v>
      </c>
    </row>
    <row r="1852" spans="2:2" x14ac:dyDescent="0.25">
      <c r="B1852" t="str">
        <f t="shared" si="28"/>
        <v>01</v>
      </c>
    </row>
    <row r="1853" spans="2:2" x14ac:dyDescent="0.25">
      <c r="B1853" t="str">
        <f t="shared" si="28"/>
        <v>01</v>
      </c>
    </row>
    <row r="1854" spans="2:2" x14ac:dyDescent="0.25">
      <c r="B1854" t="str">
        <f t="shared" si="28"/>
        <v>01</v>
      </c>
    </row>
    <row r="1855" spans="2:2" x14ac:dyDescent="0.25">
      <c r="B1855" t="str">
        <f t="shared" si="28"/>
        <v>01</v>
      </c>
    </row>
    <row r="1856" spans="2:2" x14ac:dyDescent="0.25">
      <c r="B1856" t="str">
        <f t="shared" si="28"/>
        <v>01</v>
      </c>
    </row>
    <row r="1857" spans="2:2" x14ac:dyDescent="0.25">
      <c r="B1857" t="str">
        <f t="shared" si="28"/>
        <v>01</v>
      </c>
    </row>
    <row r="1858" spans="2:2" x14ac:dyDescent="0.25">
      <c r="B1858" t="str">
        <f t="shared" si="28"/>
        <v>01</v>
      </c>
    </row>
    <row r="1859" spans="2:2" x14ac:dyDescent="0.25">
      <c r="B1859" t="str">
        <f t="shared" si="28"/>
        <v>01</v>
      </c>
    </row>
    <row r="1860" spans="2:2" x14ac:dyDescent="0.25">
      <c r="B1860" t="str">
        <f t="shared" si="28"/>
        <v>01</v>
      </c>
    </row>
    <row r="1861" spans="2:2" x14ac:dyDescent="0.25">
      <c r="B1861" t="str">
        <f t="shared" si="28"/>
        <v>01</v>
      </c>
    </row>
    <row r="1862" spans="2:2" x14ac:dyDescent="0.25">
      <c r="B1862" t="str">
        <f t="shared" ref="B1862:B1925" si="29">TEXT(C1862,"MM")</f>
        <v>01</v>
      </c>
    </row>
    <row r="1863" spans="2:2" x14ac:dyDescent="0.25">
      <c r="B1863" t="str">
        <f t="shared" si="29"/>
        <v>01</v>
      </c>
    </row>
    <row r="1864" spans="2:2" x14ac:dyDescent="0.25">
      <c r="B1864" t="str">
        <f t="shared" si="29"/>
        <v>01</v>
      </c>
    </row>
    <row r="1865" spans="2:2" x14ac:dyDescent="0.25">
      <c r="B1865" t="str">
        <f t="shared" si="29"/>
        <v>01</v>
      </c>
    </row>
    <row r="1866" spans="2:2" x14ac:dyDescent="0.25">
      <c r="B1866" t="str">
        <f t="shared" si="29"/>
        <v>01</v>
      </c>
    </row>
    <row r="1867" spans="2:2" x14ac:dyDescent="0.25">
      <c r="B1867" t="str">
        <f t="shared" si="29"/>
        <v>01</v>
      </c>
    </row>
    <row r="1868" spans="2:2" x14ac:dyDescent="0.25">
      <c r="B1868" t="str">
        <f t="shared" si="29"/>
        <v>01</v>
      </c>
    </row>
    <row r="1869" spans="2:2" x14ac:dyDescent="0.25">
      <c r="B1869" t="str">
        <f t="shared" si="29"/>
        <v>01</v>
      </c>
    </row>
    <row r="1870" spans="2:2" x14ac:dyDescent="0.25">
      <c r="B1870" t="str">
        <f t="shared" si="29"/>
        <v>01</v>
      </c>
    </row>
    <row r="1871" spans="2:2" x14ac:dyDescent="0.25">
      <c r="B1871" t="str">
        <f t="shared" si="29"/>
        <v>01</v>
      </c>
    </row>
    <row r="1872" spans="2:2" x14ac:dyDescent="0.25">
      <c r="B1872" t="str">
        <f t="shared" si="29"/>
        <v>01</v>
      </c>
    </row>
    <row r="1873" spans="2:2" x14ac:dyDescent="0.25">
      <c r="B1873" t="str">
        <f t="shared" si="29"/>
        <v>01</v>
      </c>
    </row>
    <row r="1874" spans="2:2" x14ac:dyDescent="0.25">
      <c r="B1874" t="str">
        <f t="shared" si="29"/>
        <v>01</v>
      </c>
    </row>
    <row r="1875" spans="2:2" x14ac:dyDescent="0.25">
      <c r="B1875" t="str">
        <f t="shared" si="29"/>
        <v>01</v>
      </c>
    </row>
    <row r="1876" spans="2:2" x14ac:dyDescent="0.25">
      <c r="B1876" t="str">
        <f t="shared" si="29"/>
        <v>01</v>
      </c>
    </row>
    <row r="1877" spans="2:2" x14ac:dyDescent="0.25">
      <c r="B1877" t="str">
        <f t="shared" si="29"/>
        <v>01</v>
      </c>
    </row>
    <row r="1878" spans="2:2" x14ac:dyDescent="0.25">
      <c r="B1878" t="str">
        <f t="shared" si="29"/>
        <v>01</v>
      </c>
    </row>
    <row r="1879" spans="2:2" x14ac:dyDescent="0.25">
      <c r="B1879" t="str">
        <f t="shared" si="29"/>
        <v>01</v>
      </c>
    </row>
    <row r="1880" spans="2:2" x14ac:dyDescent="0.25">
      <c r="B1880" t="str">
        <f t="shared" si="29"/>
        <v>01</v>
      </c>
    </row>
    <row r="1881" spans="2:2" x14ac:dyDescent="0.25">
      <c r="B1881" t="str">
        <f t="shared" si="29"/>
        <v>01</v>
      </c>
    </row>
    <row r="1882" spans="2:2" x14ac:dyDescent="0.25">
      <c r="B1882" t="str">
        <f t="shared" si="29"/>
        <v>01</v>
      </c>
    </row>
    <row r="1883" spans="2:2" x14ac:dyDescent="0.25">
      <c r="B1883" t="str">
        <f t="shared" si="29"/>
        <v>01</v>
      </c>
    </row>
    <row r="1884" spans="2:2" x14ac:dyDescent="0.25">
      <c r="B1884" t="str">
        <f t="shared" si="29"/>
        <v>01</v>
      </c>
    </row>
    <row r="1885" spans="2:2" x14ac:dyDescent="0.25">
      <c r="B1885" t="str">
        <f t="shared" si="29"/>
        <v>01</v>
      </c>
    </row>
    <row r="1886" spans="2:2" x14ac:dyDescent="0.25">
      <c r="B1886" t="str">
        <f t="shared" si="29"/>
        <v>01</v>
      </c>
    </row>
    <row r="1887" spans="2:2" x14ac:dyDescent="0.25">
      <c r="B1887" t="str">
        <f t="shared" si="29"/>
        <v>01</v>
      </c>
    </row>
    <row r="1888" spans="2:2" x14ac:dyDescent="0.25">
      <c r="B1888" t="str">
        <f t="shared" si="29"/>
        <v>01</v>
      </c>
    </row>
    <row r="1889" spans="2:2" x14ac:dyDescent="0.25">
      <c r="B1889" t="str">
        <f t="shared" si="29"/>
        <v>01</v>
      </c>
    </row>
    <row r="1890" spans="2:2" x14ac:dyDescent="0.25">
      <c r="B1890" t="str">
        <f t="shared" si="29"/>
        <v>01</v>
      </c>
    </row>
    <row r="1891" spans="2:2" x14ac:dyDescent="0.25">
      <c r="B1891" t="str">
        <f t="shared" si="29"/>
        <v>01</v>
      </c>
    </row>
    <row r="1892" spans="2:2" x14ac:dyDescent="0.25">
      <c r="B1892" t="str">
        <f t="shared" si="29"/>
        <v>01</v>
      </c>
    </row>
    <row r="1893" spans="2:2" x14ac:dyDescent="0.25">
      <c r="B1893" t="str">
        <f t="shared" si="29"/>
        <v>01</v>
      </c>
    </row>
    <row r="1894" spans="2:2" x14ac:dyDescent="0.25">
      <c r="B1894" t="str">
        <f t="shared" si="29"/>
        <v>01</v>
      </c>
    </row>
    <row r="1895" spans="2:2" x14ac:dyDescent="0.25">
      <c r="B1895" t="str">
        <f t="shared" si="29"/>
        <v>01</v>
      </c>
    </row>
    <row r="1896" spans="2:2" x14ac:dyDescent="0.25">
      <c r="B1896" t="str">
        <f t="shared" si="29"/>
        <v>01</v>
      </c>
    </row>
    <row r="1897" spans="2:2" x14ac:dyDescent="0.25">
      <c r="B1897" t="str">
        <f t="shared" si="29"/>
        <v>01</v>
      </c>
    </row>
    <row r="1898" spans="2:2" x14ac:dyDescent="0.25">
      <c r="B1898" t="str">
        <f t="shared" si="29"/>
        <v>01</v>
      </c>
    </row>
    <row r="1899" spans="2:2" x14ac:dyDescent="0.25">
      <c r="B1899" t="str">
        <f t="shared" si="29"/>
        <v>01</v>
      </c>
    </row>
    <row r="1900" spans="2:2" x14ac:dyDescent="0.25">
      <c r="B1900" t="str">
        <f t="shared" si="29"/>
        <v>01</v>
      </c>
    </row>
    <row r="1901" spans="2:2" x14ac:dyDescent="0.25">
      <c r="B1901" t="str">
        <f t="shared" si="29"/>
        <v>01</v>
      </c>
    </row>
    <row r="1902" spans="2:2" x14ac:dyDescent="0.25">
      <c r="B1902" t="str">
        <f t="shared" si="29"/>
        <v>01</v>
      </c>
    </row>
    <row r="1903" spans="2:2" x14ac:dyDescent="0.25">
      <c r="B1903" t="str">
        <f t="shared" si="29"/>
        <v>01</v>
      </c>
    </row>
    <row r="1904" spans="2:2" x14ac:dyDescent="0.25">
      <c r="B1904" t="str">
        <f t="shared" si="29"/>
        <v>01</v>
      </c>
    </row>
    <row r="1905" spans="2:2" x14ac:dyDescent="0.25">
      <c r="B1905" t="str">
        <f t="shared" si="29"/>
        <v>01</v>
      </c>
    </row>
    <row r="1906" spans="2:2" x14ac:dyDescent="0.25">
      <c r="B1906" t="str">
        <f t="shared" si="29"/>
        <v>01</v>
      </c>
    </row>
    <row r="1907" spans="2:2" x14ac:dyDescent="0.25">
      <c r="B1907" t="str">
        <f t="shared" si="29"/>
        <v>01</v>
      </c>
    </row>
    <row r="1908" spans="2:2" x14ac:dyDescent="0.25">
      <c r="B1908" t="str">
        <f t="shared" si="29"/>
        <v>01</v>
      </c>
    </row>
    <row r="1909" spans="2:2" x14ac:dyDescent="0.25">
      <c r="B1909" t="str">
        <f t="shared" si="29"/>
        <v>01</v>
      </c>
    </row>
    <row r="1910" spans="2:2" x14ac:dyDescent="0.25">
      <c r="B1910" t="str">
        <f t="shared" si="29"/>
        <v>01</v>
      </c>
    </row>
    <row r="1911" spans="2:2" x14ac:dyDescent="0.25">
      <c r="B1911" t="str">
        <f t="shared" si="29"/>
        <v>01</v>
      </c>
    </row>
    <row r="1912" spans="2:2" x14ac:dyDescent="0.25">
      <c r="B1912" t="str">
        <f t="shared" si="29"/>
        <v>01</v>
      </c>
    </row>
    <row r="1913" spans="2:2" x14ac:dyDescent="0.25">
      <c r="B1913" t="str">
        <f t="shared" si="29"/>
        <v>01</v>
      </c>
    </row>
    <row r="1914" spans="2:2" x14ac:dyDescent="0.25">
      <c r="B1914" t="str">
        <f t="shared" si="29"/>
        <v>01</v>
      </c>
    </row>
    <row r="1915" spans="2:2" x14ac:dyDescent="0.25">
      <c r="B1915" t="str">
        <f t="shared" si="29"/>
        <v>01</v>
      </c>
    </row>
    <row r="1916" spans="2:2" x14ac:dyDescent="0.25">
      <c r="B1916" t="str">
        <f t="shared" si="29"/>
        <v>01</v>
      </c>
    </row>
    <row r="1917" spans="2:2" x14ac:dyDescent="0.25">
      <c r="B1917" t="str">
        <f t="shared" si="29"/>
        <v>01</v>
      </c>
    </row>
    <row r="1918" spans="2:2" x14ac:dyDescent="0.25">
      <c r="B1918" t="str">
        <f t="shared" si="29"/>
        <v>01</v>
      </c>
    </row>
    <row r="1919" spans="2:2" x14ac:dyDescent="0.25">
      <c r="B1919" t="str">
        <f t="shared" si="29"/>
        <v>01</v>
      </c>
    </row>
    <row r="1920" spans="2:2" x14ac:dyDescent="0.25">
      <c r="B1920" t="str">
        <f t="shared" si="29"/>
        <v>01</v>
      </c>
    </row>
    <row r="1921" spans="2:2" x14ac:dyDescent="0.25">
      <c r="B1921" t="str">
        <f t="shared" si="29"/>
        <v>01</v>
      </c>
    </row>
    <row r="1922" spans="2:2" x14ac:dyDescent="0.25">
      <c r="B1922" t="str">
        <f t="shared" si="29"/>
        <v>01</v>
      </c>
    </row>
    <row r="1923" spans="2:2" x14ac:dyDescent="0.25">
      <c r="B1923" t="str">
        <f t="shared" si="29"/>
        <v>01</v>
      </c>
    </row>
    <row r="1924" spans="2:2" x14ac:dyDescent="0.25">
      <c r="B1924" t="str">
        <f t="shared" si="29"/>
        <v>01</v>
      </c>
    </row>
    <row r="1925" spans="2:2" x14ac:dyDescent="0.25">
      <c r="B1925" t="str">
        <f t="shared" si="29"/>
        <v>01</v>
      </c>
    </row>
    <row r="1926" spans="2:2" x14ac:dyDescent="0.25">
      <c r="B1926" t="str">
        <f t="shared" ref="B1926:B1989" si="30">TEXT(C1926,"MM")</f>
        <v>01</v>
      </c>
    </row>
    <row r="1927" spans="2:2" x14ac:dyDescent="0.25">
      <c r="B1927" t="str">
        <f t="shared" si="30"/>
        <v>01</v>
      </c>
    </row>
    <row r="1928" spans="2:2" x14ac:dyDescent="0.25">
      <c r="B1928" t="str">
        <f t="shared" si="30"/>
        <v>01</v>
      </c>
    </row>
    <row r="1929" spans="2:2" x14ac:dyDescent="0.25">
      <c r="B1929" t="str">
        <f t="shared" si="30"/>
        <v>01</v>
      </c>
    </row>
    <row r="1930" spans="2:2" x14ac:dyDescent="0.25">
      <c r="B1930" t="str">
        <f t="shared" si="30"/>
        <v>01</v>
      </c>
    </row>
    <row r="1931" spans="2:2" x14ac:dyDescent="0.25">
      <c r="B1931" t="str">
        <f t="shared" si="30"/>
        <v>01</v>
      </c>
    </row>
    <row r="1932" spans="2:2" x14ac:dyDescent="0.25">
      <c r="B1932" t="str">
        <f t="shared" si="30"/>
        <v>01</v>
      </c>
    </row>
    <row r="1933" spans="2:2" x14ac:dyDescent="0.25">
      <c r="B1933" t="str">
        <f t="shared" si="30"/>
        <v>01</v>
      </c>
    </row>
    <row r="1934" spans="2:2" x14ac:dyDescent="0.25">
      <c r="B1934" t="str">
        <f t="shared" si="30"/>
        <v>01</v>
      </c>
    </row>
    <row r="1935" spans="2:2" x14ac:dyDescent="0.25">
      <c r="B1935" t="str">
        <f t="shared" si="30"/>
        <v>01</v>
      </c>
    </row>
    <row r="1936" spans="2:2" x14ac:dyDescent="0.25">
      <c r="B1936" t="str">
        <f t="shared" si="30"/>
        <v>01</v>
      </c>
    </row>
    <row r="1937" spans="2:2" x14ac:dyDescent="0.25">
      <c r="B1937" t="str">
        <f t="shared" si="30"/>
        <v>01</v>
      </c>
    </row>
    <row r="1938" spans="2:2" x14ac:dyDescent="0.25">
      <c r="B1938" t="str">
        <f t="shared" si="30"/>
        <v>01</v>
      </c>
    </row>
    <row r="1939" spans="2:2" x14ac:dyDescent="0.25">
      <c r="B1939" t="str">
        <f t="shared" si="30"/>
        <v>01</v>
      </c>
    </row>
    <row r="1940" spans="2:2" x14ac:dyDescent="0.25">
      <c r="B1940" t="str">
        <f t="shared" si="30"/>
        <v>01</v>
      </c>
    </row>
    <row r="1941" spans="2:2" x14ac:dyDescent="0.25">
      <c r="B1941" t="str">
        <f t="shared" si="30"/>
        <v>01</v>
      </c>
    </row>
    <row r="1942" spans="2:2" x14ac:dyDescent="0.25">
      <c r="B1942" t="str">
        <f t="shared" si="30"/>
        <v>01</v>
      </c>
    </row>
    <row r="1943" spans="2:2" x14ac:dyDescent="0.25">
      <c r="B1943" t="str">
        <f t="shared" si="30"/>
        <v>01</v>
      </c>
    </row>
    <row r="1944" spans="2:2" x14ac:dyDescent="0.25">
      <c r="B1944" t="str">
        <f t="shared" si="30"/>
        <v>01</v>
      </c>
    </row>
    <row r="1945" spans="2:2" x14ac:dyDescent="0.25">
      <c r="B1945" t="str">
        <f t="shared" si="30"/>
        <v>01</v>
      </c>
    </row>
    <row r="1946" spans="2:2" x14ac:dyDescent="0.25">
      <c r="B1946" t="str">
        <f t="shared" si="30"/>
        <v>01</v>
      </c>
    </row>
    <row r="1947" spans="2:2" x14ac:dyDescent="0.25">
      <c r="B1947" t="str">
        <f t="shared" si="30"/>
        <v>01</v>
      </c>
    </row>
    <row r="1948" spans="2:2" x14ac:dyDescent="0.25">
      <c r="B1948" t="str">
        <f t="shared" si="30"/>
        <v>01</v>
      </c>
    </row>
    <row r="1949" spans="2:2" x14ac:dyDescent="0.25">
      <c r="B1949" t="str">
        <f t="shared" si="30"/>
        <v>01</v>
      </c>
    </row>
    <row r="1950" spans="2:2" x14ac:dyDescent="0.25">
      <c r="B1950" t="str">
        <f t="shared" si="30"/>
        <v>01</v>
      </c>
    </row>
    <row r="1951" spans="2:2" x14ac:dyDescent="0.25">
      <c r="B1951" t="str">
        <f t="shared" si="30"/>
        <v>01</v>
      </c>
    </row>
    <row r="1952" spans="2:2" x14ac:dyDescent="0.25">
      <c r="B1952" t="str">
        <f t="shared" si="30"/>
        <v>01</v>
      </c>
    </row>
    <row r="1953" spans="2:2" x14ac:dyDescent="0.25">
      <c r="B1953" t="str">
        <f t="shared" si="30"/>
        <v>01</v>
      </c>
    </row>
    <row r="1954" spans="2:2" x14ac:dyDescent="0.25">
      <c r="B1954" t="str">
        <f t="shared" si="30"/>
        <v>01</v>
      </c>
    </row>
    <row r="1955" spans="2:2" x14ac:dyDescent="0.25">
      <c r="B1955" t="str">
        <f t="shared" si="30"/>
        <v>01</v>
      </c>
    </row>
    <row r="1956" spans="2:2" x14ac:dyDescent="0.25">
      <c r="B1956" t="str">
        <f t="shared" si="30"/>
        <v>01</v>
      </c>
    </row>
    <row r="1957" spans="2:2" x14ac:dyDescent="0.25">
      <c r="B1957" t="str">
        <f t="shared" si="30"/>
        <v>01</v>
      </c>
    </row>
    <row r="1958" spans="2:2" x14ac:dyDescent="0.25">
      <c r="B1958" t="str">
        <f t="shared" si="30"/>
        <v>01</v>
      </c>
    </row>
    <row r="1959" spans="2:2" x14ac:dyDescent="0.25">
      <c r="B1959" t="str">
        <f t="shared" si="30"/>
        <v>01</v>
      </c>
    </row>
    <row r="1960" spans="2:2" x14ac:dyDescent="0.25">
      <c r="B1960" t="str">
        <f t="shared" si="30"/>
        <v>01</v>
      </c>
    </row>
    <row r="1961" spans="2:2" x14ac:dyDescent="0.25">
      <c r="B1961" t="str">
        <f t="shared" si="30"/>
        <v>01</v>
      </c>
    </row>
    <row r="1962" spans="2:2" x14ac:dyDescent="0.25">
      <c r="B1962" t="str">
        <f t="shared" si="30"/>
        <v>01</v>
      </c>
    </row>
    <row r="1963" spans="2:2" x14ac:dyDescent="0.25">
      <c r="B1963" t="str">
        <f t="shared" si="30"/>
        <v>01</v>
      </c>
    </row>
    <row r="1964" spans="2:2" x14ac:dyDescent="0.25">
      <c r="B1964" t="str">
        <f t="shared" si="30"/>
        <v>01</v>
      </c>
    </row>
    <row r="1965" spans="2:2" x14ac:dyDescent="0.25">
      <c r="B1965" t="str">
        <f t="shared" si="30"/>
        <v>01</v>
      </c>
    </row>
    <row r="1966" spans="2:2" x14ac:dyDescent="0.25">
      <c r="B1966" t="str">
        <f t="shared" si="30"/>
        <v>01</v>
      </c>
    </row>
    <row r="1967" spans="2:2" x14ac:dyDescent="0.25">
      <c r="B1967" t="str">
        <f t="shared" si="30"/>
        <v>01</v>
      </c>
    </row>
    <row r="1968" spans="2:2" x14ac:dyDescent="0.25">
      <c r="B1968" t="str">
        <f t="shared" si="30"/>
        <v>01</v>
      </c>
    </row>
    <row r="1969" spans="2:2" x14ac:dyDescent="0.25">
      <c r="B1969" t="str">
        <f t="shared" si="30"/>
        <v>01</v>
      </c>
    </row>
    <row r="1970" spans="2:2" x14ac:dyDescent="0.25">
      <c r="B1970" t="str">
        <f t="shared" si="30"/>
        <v>01</v>
      </c>
    </row>
    <row r="1971" spans="2:2" x14ac:dyDescent="0.25">
      <c r="B1971" t="str">
        <f t="shared" si="30"/>
        <v>01</v>
      </c>
    </row>
    <row r="1972" spans="2:2" x14ac:dyDescent="0.25">
      <c r="B1972" t="str">
        <f t="shared" si="30"/>
        <v>01</v>
      </c>
    </row>
    <row r="1973" spans="2:2" x14ac:dyDescent="0.25">
      <c r="B1973" t="str">
        <f t="shared" si="30"/>
        <v>01</v>
      </c>
    </row>
    <row r="1974" spans="2:2" x14ac:dyDescent="0.25">
      <c r="B1974" t="str">
        <f t="shared" si="30"/>
        <v>01</v>
      </c>
    </row>
    <row r="1975" spans="2:2" x14ac:dyDescent="0.25">
      <c r="B1975" t="str">
        <f t="shared" si="30"/>
        <v>01</v>
      </c>
    </row>
    <row r="1976" spans="2:2" x14ac:dyDescent="0.25">
      <c r="B1976" t="str">
        <f t="shared" si="30"/>
        <v>01</v>
      </c>
    </row>
    <row r="1977" spans="2:2" x14ac:dyDescent="0.25">
      <c r="B1977" t="str">
        <f t="shared" si="30"/>
        <v>01</v>
      </c>
    </row>
    <row r="1978" spans="2:2" x14ac:dyDescent="0.25">
      <c r="B1978" t="str">
        <f t="shared" si="30"/>
        <v>01</v>
      </c>
    </row>
    <row r="1979" spans="2:2" x14ac:dyDescent="0.25">
      <c r="B1979" t="str">
        <f t="shared" si="30"/>
        <v>01</v>
      </c>
    </row>
    <row r="1980" spans="2:2" x14ac:dyDescent="0.25">
      <c r="B1980" t="str">
        <f t="shared" si="30"/>
        <v>01</v>
      </c>
    </row>
    <row r="1981" spans="2:2" x14ac:dyDescent="0.25">
      <c r="B1981" t="str">
        <f t="shared" si="30"/>
        <v>01</v>
      </c>
    </row>
    <row r="1982" spans="2:2" x14ac:dyDescent="0.25">
      <c r="B1982" t="str">
        <f t="shared" si="30"/>
        <v>01</v>
      </c>
    </row>
    <row r="1983" spans="2:2" x14ac:dyDescent="0.25">
      <c r="B1983" t="str">
        <f t="shared" si="30"/>
        <v>01</v>
      </c>
    </row>
    <row r="1984" spans="2:2" x14ac:dyDescent="0.25">
      <c r="B1984" t="str">
        <f t="shared" si="30"/>
        <v>01</v>
      </c>
    </row>
    <row r="1985" spans="2:2" x14ac:dyDescent="0.25">
      <c r="B1985" t="str">
        <f t="shared" si="30"/>
        <v>01</v>
      </c>
    </row>
    <row r="1986" spans="2:2" x14ac:dyDescent="0.25">
      <c r="B1986" t="str">
        <f t="shared" si="30"/>
        <v>01</v>
      </c>
    </row>
    <row r="1987" spans="2:2" x14ac:dyDescent="0.25">
      <c r="B1987" t="str">
        <f t="shared" si="30"/>
        <v>01</v>
      </c>
    </row>
    <row r="1988" spans="2:2" x14ac:dyDescent="0.25">
      <c r="B1988" t="str">
        <f t="shared" si="30"/>
        <v>01</v>
      </c>
    </row>
    <row r="1989" spans="2:2" x14ac:dyDescent="0.25">
      <c r="B1989" t="str">
        <f t="shared" si="30"/>
        <v>01</v>
      </c>
    </row>
    <row r="1990" spans="2:2" x14ac:dyDescent="0.25">
      <c r="B1990" t="str">
        <f t="shared" ref="B1990:B2053" si="31">TEXT(C1990,"MM")</f>
        <v>01</v>
      </c>
    </row>
    <row r="1991" spans="2:2" x14ac:dyDescent="0.25">
      <c r="B1991" t="str">
        <f t="shared" si="31"/>
        <v>01</v>
      </c>
    </row>
    <row r="1992" spans="2:2" x14ac:dyDescent="0.25">
      <c r="B1992" t="str">
        <f t="shared" si="31"/>
        <v>01</v>
      </c>
    </row>
    <row r="1993" spans="2:2" x14ac:dyDescent="0.25">
      <c r="B1993" t="str">
        <f t="shared" si="31"/>
        <v>01</v>
      </c>
    </row>
    <row r="1994" spans="2:2" x14ac:dyDescent="0.25">
      <c r="B1994" t="str">
        <f t="shared" si="31"/>
        <v>01</v>
      </c>
    </row>
    <row r="1995" spans="2:2" x14ac:dyDescent="0.25">
      <c r="B1995" t="str">
        <f t="shared" si="31"/>
        <v>01</v>
      </c>
    </row>
    <row r="1996" spans="2:2" x14ac:dyDescent="0.25">
      <c r="B1996" t="str">
        <f t="shared" si="31"/>
        <v>01</v>
      </c>
    </row>
    <row r="1997" spans="2:2" x14ac:dyDescent="0.25">
      <c r="B1997" t="str">
        <f t="shared" si="31"/>
        <v>01</v>
      </c>
    </row>
    <row r="1998" spans="2:2" x14ac:dyDescent="0.25">
      <c r="B1998" t="str">
        <f t="shared" si="31"/>
        <v>01</v>
      </c>
    </row>
    <row r="1999" spans="2:2" x14ac:dyDescent="0.25">
      <c r="B1999" t="str">
        <f t="shared" si="31"/>
        <v>01</v>
      </c>
    </row>
    <row r="2000" spans="2:2" x14ac:dyDescent="0.25">
      <c r="B2000" t="str">
        <f t="shared" si="31"/>
        <v>01</v>
      </c>
    </row>
    <row r="2001" spans="2:2" x14ac:dyDescent="0.25">
      <c r="B2001" t="str">
        <f t="shared" si="31"/>
        <v>01</v>
      </c>
    </row>
    <row r="2002" spans="2:2" x14ac:dyDescent="0.25">
      <c r="B2002" t="str">
        <f t="shared" si="31"/>
        <v>01</v>
      </c>
    </row>
    <row r="2003" spans="2:2" x14ac:dyDescent="0.25">
      <c r="B2003" t="str">
        <f t="shared" si="31"/>
        <v>01</v>
      </c>
    </row>
    <row r="2004" spans="2:2" x14ac:dyDescent="0.25">
      <c r="B2004" t="str">
        <f t="shared" si="31"/>
        <v>01</v>
      </c>
    </row>
    <row r="2005" spans="2:2" x14ac:dyDescent="0.25">
      <c r="B2005" t="str">
        <f t="shared" si="31"/>
        <v>01</v>
      </c>
    </row>
    <row r="2006" spans="2:2" x14ac:dyDescent="0.25">
      <c r="B2006" t="str">
        <f t="shared" si="31"/>
        <v>01</v>
      </c>
    </row>
    <row r="2007" spans="2:2" x14ac:dyDescent="0.25">
      <c r="B2007" t="str">
        <f t="shared" si="31"/>
        <v>01</v>
      </c>
    </row>
    <row r="2008" spans="2:2" x14ac:dyDescent="0.25">
      <c r="B2008" t="str">
        <f t="shared" si="31"/>
        <v>01</v>
      </c>
    </row>
    <row r="2009" spans="2:2" x14ac:dyDescent="0.25">
      <c r="B2009" t="str">
        <f t="shared" si="31"/>
        <v>01</v>
      </c>
    </row>
    <row r="2010" spans="2:2" x14ac:dyDescent="0.25">
      <c r="B2010" t="str">
        <f t="shared" si="31"/>
        <v>01</v>
      </c>
    </row>
    <row r="2011" spans="2:2" x14ac:dyDescent="0.25">
      <c r="B2011" t="str">
        <f t="shared" si="31"/>
        <v>01</v>
      </c>
    </row>
    <row r="2012" spans="2:2" x14ac:dyDescent="0.25">
      <c r="B2012" t="str">
        <f t="shared" si="31"/>
        <v>01</v>
      </c>
    </row>
    <row r="2013" spans="2:2" x14ac:dyDescent="0.25">
      <c r="B2013" t="str">
        <f t="shared" si="31"/>
        <v>01</v>
      </c>
    </row>
    <row r="2014" spans="2:2" x14ac:dyDescent="0.25">
      <c r="B2014" t="str">
        <f t="shared" si="31"/>
        <v>01</v>
      </c>
    </row>
    <row r="2015" spans="2:2" x14ac:dyDescent="0.25">
      <c r="B2015" t="str">
        <f t="shared" si="31"/>
        <v>01</v>
      </c>
    </row>
    <row r="2016" spans="2:2" x14ac:dyDescent="0.25">
      <c r="B2016" t="str">
        <f t="shared" si="31"/>
        <v>01</v>
      </c>
    </row>
    <row r="2017" spans="2:2" x14ac:dyDescent="0.25">
      <c r="B2017" t="str">
        <f t="shared" si="31"/>
        <v>01</v>
      </c>
    </row>
    <row r="2018" spans="2:2" x14ac:dyDescent="0.25">
      <c r="B2018" t="str">
        <f t="shared" si="31"/>
        <v>01</v>
      </c>
    </row>
    <row r="2019" spans="2:2" x14ac:dyDescent="0.25">
      <c r="B2019" t="str">
        <f t="shared" si="31"/>
        <v>01</v>
      </c>
    </row>
    <row r="2020" spans="2:2" x14ac:dyDescent="0.25">
      <c r="B2020" t="str">
        <f t="shared" si="31"/>
        <v>01</v>
      </c>
    </row>
    <row r="2021" spans="2:2" x14ac:dyDescent="0.25">
      <c r="B2021" t="str">
        <f t="shared" si="31"/>
        <v>01</v>
      </c>
    </row>
    <row r="2022" spans="2:2" x14ac:dyDescent="0.25">
      <c r="B2022" t="str">
        <f t="shared" si="31"/>
        <v>01</v>
      </c>
    </row>
    <row r="2023" spans="2:2" x14ac:dyDescent="0.25">
      <c r="B2023" t="str">
        <f t="shared" si="31"/>
        <v>01</v>
      </c>
    </row>
    <row r="2024" spans="2:2" x14ac:dyDescent="0.25">
      <c r="B2024" t="str">
        <f t="shared" si="31"/>
        <v>01</v>
      </c>
    </row>
    <row r="2025" spans="2:2" x14ac:dyDescent="0.25">
      <c r="B2025" t="str">
        <f t="shared" si="31"/>
        <v>01</v>
      </c>
    </row>
    <row r="2026" spans="2:2" x14ac:dyDescent="0.25">
      <c r="B2026" t="str">
        <f t="shared" si="31"/>
        <v>01</v>
      </c>
    </row>
    <row r="2027" spans="2:2" x14ac:dyDescent="0.25">
      <c r="B2027" t="str">
        <f t="shared" si="31"/>
        <v>01</v>
      </c>
    </row>
    <row r="2028" spans="2:2" x14ac:dyDescent="0.25">
      <c r="B2028" t="str">
        <f t="shared" si="31"/>
        <v>01</v>
      </c>
    </row>
    <row r="2029" spans="2:2" x14ac:dyDescent="0.25">
      <c r="B2029" t="str">
        <f t="shared" si="31"/>
        <v>01</v>
      </c>
    </row>
    <row r="2030" spans="2:2" x14ac:dyDescent="0.25">
      <c r="B2030" t="str">
        <f t="shared" si="31"/>
        <v>01</v>
      </c>
    </row>
    <row r="2031" spans="2:2" x14ac:dyDescent="0.25">
      <c r="B2031" t="str">
        <f t="shared" si="31"/>
        <v>01</v>
      </c>
    </row>
    <row r="2032" spans="2:2" x14ac:dyDescent="0.25">
      <c r="B2032" t="str">
        <f t="shared" si="31"/>
        <v>01</v>
      </c>
    </row>
    <row r="2033" spans="2:2" x14ac:dyDescent="0.25">
      <c r="B2033" t="str">
        <f t="shared" si="31"/>
        <v>01</v>
      </c>
    </row>
    <row r="2034" spans="2:2" x14ac:dyDescent="0.25">
      <c r="B2034" t="str">
        <f t="shared" si="31"/>
        <v>01</v>
      </c>
    </row>
    <row r="2035" spans="2:2" x14ac:dyDescent="0.25">
      <c r="B2035" t="str">
        <f t="shared" si="31"/>
        <v>01</v>
      </c>
    </row>
    <row r="2036" spans="2:2" x14ac:dyDescent="0.25">
      <c r="B2036" t="str">
        <f t="shared" si="31"/>
        <v>01</v>
      </c>
    </row>
    <row r="2037" spans="2:2" x14ac:dyDescent="0.25">
      <c r="B2037" t="str">
        <f t="shared" si="31"/>
        <v>01</v>
      </c>
    </row>
    <row r="2038" spans="2:2" x14ac:dyDescent="0.25">
      <c r="B2038" t="str">
        <f t="shared" si="31"/>
        <v>01</v>
      </c>
    </row>
    <row r="2039" spans="2:2" x14ac:dyDescent="0.25">
      <c r="B2039" t="str">
        <f t="shared" si="31"/>
        <v>01</v>
      </c>
    </row>
    <row r="2040" spans="2:2" x14ac:dyDescent="0.25">
      <c r="B2040" t="str">
        <f t="shared" si="31"/>
        <v>01</v>
      </c>
    </row>
    <row r="2041" spans="2:2" x14ac:dyDescent="0.25">
      <c r="B2041" t="str">
        <f t="shared" si="31"/>
        <v>01</v>
      </c>
    </row>
    <row r="2042" spans="2:2" x14ac:dyDescent="0.25">
      <c r="B2042" t="str">
        <f t="shared" si="31"/>
        <v>01</v>
      </c>
    </row>
    <row r="2043" spans="2:2" x14ac:dyDescent="0.25">
      <c r="B2043" t="str">
        <f t="shared" si="31"/>
        <v>01</v>
      </c>
    </row>
    <row r="2044" spans="2:2" x14ac:dyDescent="0.25">
      <c r="B2044" t="str">
        <f t="shared" si="31"/>
        <v>01</v>
      </c>
    </row>
    <row r="2045" spans="2:2" x14ac:dyDescent="0.25">
      <c r="B2045" t="str">
        <f t="shared" si="31"/>
        <v>01</v>
      </c>
    </row>
    <row r="2046" spans="2:2" x14ac:dyDescent="0.25">
      <c r="B2046" t="str">
        <f t="shared" si="31"/>
        <v>01</v>
      </c>
    </row>
    <row r="2047" spans="2:2" x14ac:dyDescent="0.25">
      <c r="B2047" t="str">
        <f t="shared" si="31"/>
        <v>01</v>
      </c>
    </row>
    <row r="2048" spans="2:2" x14ac:dyDescent="0.25">
      <c r="B2048" t="str">
        <f t="shared" si="31"/>
        <v>01</v>
      </c>
    </row>
    <row r="2049" spans="2:2" x14ac:dyDescent="0.25">
      <c r="B2049" t="str">
        <f t="shared" si="31"/>
        <v>01</v>
      </c>
    </row>
    <row r="2050" spans="2:2" x14ac:dyDescent="0.25">
      <c r="B2050" t="str">
        <f t="shared" si="31"/>
        <v>01</v>
      </c>
    </row>
    <row r="2051" spans="2:2" x14ac:dyDescent="0.25">
      <c r="B2051" t="str">
        <f t="shared" si="31"/>
        <v>01</v>
      </c>
    </row>
    <row r="2052" spans="2:2" x14ac:dyDescent="0.25">
      <c r="B2052" t="str">
        <f t="shared" si="31"/>
        <v>01</v>
      </c>
    </row>
    <row r="2053" spans="2:2" x14ac:dyDescent="0.25">
      <c r="B2053" t="str">
        <f t="shared" si="31"/>
        <v>01</v>
      </c>
    </row>
    <row r="2054" spans="2:2" x14ac:dyDescent="0.25">
      <c r="B2054" t="str">
        <f t="shared" ref="B2054:B2117" si="32">TEXT(C2054,"MM")</f>
        <v>01</v>
      </c>
    </row>
    <row r="2055" spans="2:2" x14ac:dyDescent="0.25">
      <c r="B2055" t="str">
        <f t="shared" si="32"/>
        <v>01</v>
      </c>
    </row>
    <row r="2056" spans="2:2" x14ac:dyDescent="0.25">
      <c r="B2056" t="str">
        <f t="shared" si="32"/>
        <v>01</v>
      </c>
    </row>
    <row r="2057" spans="2:2" x14ac:dyDescent="0.25">
      <c r="B2057" t="str">
        <f t="shared" si="32"/>
        <v>01</v>
      </c>
    </row>
    <row r="2058" spans="2:2" x14ac:dyDescent="0.25">
      <c r="B2058" t="str">
        <f t="shared" si="32"/>
        <v>01</v>
      </c>
    </row>
    <row r="2059" spans="2:2" x14ac:dyDescent="0.25">
      <c r="B2059" t="str">
        <f t="shared" si="32"/>
        <v>01</v>
      </c>
    </row>
    <row r="2060" spans="2:2" x14ac:dyDescent="0.25">
      <c r="B2060" t="str">
        <f t="shared" si="32"/>
        <v>01</v>
      </c>
    </row>
    <row r="2061" spans="2:2" x14ac:dyDescent="0.25">
      <c r="B2061" t="str">
        <f t="shared" si="32"/>
        <v>01</v>
      </c>
    </row>
    <row r="2062" spans="2:2" x14ac:dyDescent="0.25">
      <c r="B2062" t="str">
        <f t="shared" si="32"/>
        <v>01</v>
      </c>
    </row>
    <row r="2063" spans="2:2" x14ac:dyDescent="0.25">
      <c r="B2063" t="str">
        <f t="shared" si="32"/>
        <v>01</v>
      </c>
    </row>
    <row r="2064" spans="2:2" x14ac:dyDescent="0.25">
      <c r="B2064" t="str">
        <f t="shared" si="32"/>
        <v>01</v>
      </c>
    </row>
    <row r="2065" spans="2:2" x14ac:dyDescent="0.25">
      <c r="B2065" t="str">
        <f t="shared" si="32"/>
        <v>01</v>
      </c>
    </row>
    <row r="2066" spans="2:2" x14ac:dyDescent="0.25">
      <c r="B2066" t="str">
        <f t="shared" si="32"/>
        <v>01</v>
      </c>
    </row>
    <row r="2067" spans="2:2" x14ac:dyDescent="0.25">
      <c r="B2067" t="str">
        <f t="shared" si="32"/>
        <v>01</v>
      </c>
    </row>
    <row r="2068" spans="2:2" x14ac:dyDescent="0.25">
      <c r="B2068" t="str">
        <f t="shared" si="32"/>
        <v>01</v>
      </c>
    </row>
    <row r="2069" spans="2:2" x14ac:dyDescent="0.25">
      <c r="B2069" t="str">
        <f t="shared" si="32"/>
        <v>01</v>
      </c>
    </row>
    <row r="2070" spans="2:2" x14ac:dyDescent="0.25">
      <c r="B2070" t="str">
        <f t="shared" si="32"/>
        <v>01</v>
      </c>
    </row>
    <row r="2071" spans="2:2" x14ac:dyDescent="0.25">
      <c r="B2071" t="str">
        <f t="shared" si="32"/>
        <v>01</v>
      </c>
    </row>
    <row r="2072" spans="2:2" x14ac:dyDescent="0.25">
      <c r="B2072" t="str">
        <f t="shared" si="32"/>
        <v>01</v>
      </c>
    </row>
    <row r="2073" spans="2:2" x14ac:dyDescent="0.25">
      <c r="B2073" t="str">
        <f t="shared" si="32"/>
        <v>01</v>
      </c>
    </row>
    <row r="2074" spans="2:2" x14ac:dyDescent="0.25">
      <c r="B2074" t="str">
        <f t="shared" si="32"/>
        <v>01</v>
      </c>
    </row>
    <row r="2075" spans="2:2" x14ac:dyDescent="0.25">
      <c r="B2075" t="str">
        <f t="shared" si="32"/>
        <v>01</v>
      </c>
    </row>
    <row r="2076" spans="2:2" x14ac:dyDescent="0.25">
      <c r="B2076" t="str">
        <f t="shared" si="32"/>
        <v>01</v>
      </c>
    </row>
    <row r="2077" spans="2:2" x14ac:dyDescent="0.25">
      <c r="B2077" t="str">
        <f t="shared" si="32"/>
        <v>01</v>
      </c>
    </row>
    <row r="2078" spans="2:2" x14ac:dyDescent="0.25">
      <c r="B2078" t="str">
        <f t="shared" si="32"/>
        <v>01</v>
      </c>
    </row>
    <row r="2079" spans="2:2" x14ac:dyDescent="0.25">
      <c r="B2079" t="str">
        <f t="shared" si="32"/>
        <v>01</v>
      </c>
    </row>
    <row r="2080" spans="2:2" x14ac:dyDescent="0.25">
      <c r="B2080" t="str">
        <f t="shared" si="32"/>
        <v>01</v>
      </c>
    </row>
    <row r="2081" spans="2:2" x14ac:dyDescent="0.25">
      <c r="B2081" t="str">
        <f t="shared" si="32"/>
        <v>01</v>
      </c>
    </row>
    <row r="2082" spans="2:2" x14ac:dyDescent="0.25">
      <c r="B2082" t="str">
        <f t="shared" si="32"/>
        <v>01</v>
      </c>
    </row>
    <row r="2083" spans="2:2" x14ac:dyDescent="0.25">
      <c r="B2083" t="str">
        <f t="shared" si="32"/>
        <v>01</v>
      </c>
    </row>
    <row r="2084" spans="2:2" x14ac:dyDescent="0.25">
      <c r="B2084" t="str">
        <f t="shared" si="32"/>
        <v>01</v>
      </c>
    </row>
    <row r="2085" spans="2:2" x14ac:dyDescent="0.25">
      <c r="B2085" t="str">
        <f t="shared" si="32"/>
        <v>01</v>
      </c>
    </row>
    <row r="2086" spans="2:2" x14ac:dyDescent="0.25">
      <c r="B2086" t="str">
        <f t="shared" si="32"/>
        <v>01</v>
      </c>
    </row>
    <row r="2087" spans="2:2" x14ac:dyDescent="0.25">
      <c r="B2087" t="str">
        <f t="shared" si="32"/>
        <v>01</v>
      </c>
    </row>
    <row r="2088" spans="2:2" x14ac:dyDescent="0.25">
      <c r="B2088" t="str">
        <f t="shared" si="32"/>
        <v>01</v>
      </c>
    </row>
    <row r="2089" spans="2:2" x14ac:dyDescent="0.25">
      <c r="B2089" t="str">
        <f t="shared" si="32"/>
        <v>01</v>
      </c>
    </row>
    <row r="2090" spans="2:2" x14ac:dyDescent="0.25">
      <c r="B2090" t="str">
        <f t="shared" si="32"/>
        <v>01</v>
      </c>
    </row>
    <row r="2091" spans="2:2" x14ac:dyDescent="0.25">
      <c r="B2091" t="str">
        <f t="shared" si="32"/>
        <v>01</v>
      </c>
    </row>
    <row r="2092" spans="2:2" x14ac:dyDescent="0.25">
      <c r="B2092" t="str">
        <f t="shared" si="32"/>
        <v>01</v>
      </c>
    </row>
    <row r="2093" spans="2:2" x14ac:dyDescent="0.25">
      <c r="B2093" t="str">
        <f t="shared" si="32"/>
        <v>01</v>
      </c>
    </row>
    <row r="2094" spans="2:2" x14ac:dyDescent="0.25">
      <c r="B2094" t="str">
        <f t="shared" si="32"/>
        <v>01</v>
      </c>
    </row>
    <row r="2095" spans="2:2" x14ac:dyDescent="0.25">
      <c r="B2095" t="str">
        <f t="shared" si="32"/>
        <v>01</v>
      </c>
    </row>
    <row r="2096" spans="2:2" x14ac:dyDescent="0.25">
      <c r="B2096" t="str">
        <f t="shared" si="32"/>
        <v>01</v>
      </c>
    </row>
    <row r="2097" spans="2:2" x14ac:dyDescent="0.25">
      <c r="B2097" t="str">
        <f t="shared" si="32"/>
        <v>01</v>
      </c>
    </row>
    <row r="2098" spans="2:2" x14ac:dyDescent="0.25">
      <c r="B2098" t="str">
        <f t="shared" si="32"/>
        <v>01</v>
      </c>
    </row>
    <row r="2099" spans="2:2" x14ac:dyDescent="0.25">
      <c r="B2099" t="str">
        <f t="shared" si="32"/>
        <v>01</v>
      </c>
    </row>
    <row r="2100" spans="2:2" x14ac:dyDescent="0.25">
      <c r="B2100" t="str">
        <f t="shared" si="32"/>
        <v>01</v>
      </c>
    </row>
    <row r="2101" spans="2:2" x14ac:dyDescent="0.25">
      <c r="B2101" t="str">
        <f t="shared" si="32"/>
        <v>01</v>
      </c>
    </row>
    <row r="2102" spans="2:2" x14ac:dyDescent="0.25">
      <c r="B2102" t="str">
        <f t="shared" si="32"/>
        <v>01</v>
      </c>
    </row>
    <row r="2103" spans="2:2" x14ac:dyDescent="0.25">
      <c r="B2103" t="str">
        <f t="shared" si="32"/>
        <v>01</v>
      </c>
    </row>
    <row r="2104" spans="2:2" x14ac:dyDescent="0.25">
      <c r="B2104" t="str">
        <f t="shared" si="32"/>
        <v>01</v>
      </c>
    </row>
    <row r="2105" spans="2:2" x14ac:dyDescent="0.25">
      <c r="B2105" t="str">
        <f t="shared" si="32"/>
        <v>01</v>
      </c>
    </row>
    <row r="2106" spans="2:2" x14ac:dyDescent="0.25">
      <c r="B2106" t="str">
        <f t="shared" si="32"/>
        <v>01</v>
      </c>
    </row>
    <row r="2107" spans="2:2" x14ac:dyDescent="0.25">
      <c r="B2107" t="str">
        <f t="shared" si="32"/>
        <v>01</v>
      </c>
    </row>
    <row r="2108" spans="2:2" x14ac:dyDescent="0.25">
      <c r="B2108" t="str">
        <f t="shared" si="32"/>
        <v>01</v>
      </c>
    </row>
    <row r="2109" spans="2:2" x14ac:dyDescent="0.25">
      <c r="B2109" t="str">
        <f t="shared" si="32"/>
        <v>01</v>
      </c>
    </row>
    <row r="2110" spans="2:2" x14ac:dyDescent="0.25">
      <c r="B2110" t="str">
        <f t="shared" si="32"/>
        <v>01</v>
      </c>
    </row>
    <row r="2111" spans="2:2" x14ac:dyDescent="0.25">
      <c r="B2111" t="str">
        <f t="shared" si="32"/>
        <v>01</v>
      </c>
    </row>
    <row r="2112" spans="2:2" x14ac:dyDescent="0.25">
      <c r="B2112" t="str">
        <f t="shared" si="32"/>
        <v>01</v>
      </c>
    </row>
    <row r="2113" spans="2:2" x14ac:dyDescent="0.25">
      <c r="B2113" t="str">
        <f t="shared" si="32"/>
        <v>01</v>
      </c>
    </row>
    <row r="2114" spans="2:2" x14ac:dyDescent="0.25">
      <c r="B2114" t="str">
        <f t="shared" si="32"/>
        <v>01</v>
      </c>
    </row>
    <row r="2115" spans="2:2" x14ac:dyDescent="0.25">
      <c r="B2115" t="str">
        <f t="shared" si="32"/>
        <v>01</v>
      </c>
    </row>
    <row r="2116" spans="2:2" x14ac:dyDescent="0.25">
      <c r="B2116" t="str">
        <f t="shared" si="32"/>
        <v>01</v>
      </c>
    </row>
    <row r="2117" spans="2:2" x14ac:dyDescent="0.25">
      <c r="B2117" t="str">
        <f t="shared" si="32"/>
        <v>01</v>
      </c>
    </row>
    <row r="2118" spans="2:2" x14ac:dyDescent="0.25">
      <c r="B2118" t="str">
        <f t="shared" ref="B2118:B2179" si="33">TEXT(C2118,"MM")</f>
        <v>01</v>
      </c>
    </row>
    <row r="2119" spans="2:2" x14ac:dyDescent="0.25">
      <c r="B2119" t="str">
        <f t="shared" si="33"/>
        <v>01</v>
      </c>
    </row>
    <row r="2120" spans="2:2" x14ac:dyDescent="0.25">
      <c r="B2120" t="str">
        <f t="shared" si="33"/>
        <v>01</v>
      </c>
    </row>
    <row r="2121" spans="2:2" x14ac:dyDescent="0.25">
      <c r="B2121" t="str">
        <f t="shared" si="33"/>
        <v>01</v>
      </c>
    </row>
    <row r="2122" spans="2:2" x14ac:dyDescent="0.25">
      <c r="B2122" t="str">
        <f t="shared" si="33"/>
        <v>01</v>
      </c>
    </row>
    <row r="2123" spans="2:2" x14ac:dyDescent="0.25">
      <c r="B2123" t="str">
        <f t="shared" si="33"/>
        <v>01</v>
      </c>
    </row>
    <row r="2124" spans="2:2" x14ac:dyDescent="0.25">
      <c r="B2124" t="str">
        <f t="shared" si="33"/>
        <v>01</v>
      </c>
    </row>
    <row r="2125" spans="2:2" x14ac:dyDescent="0.25">
      <c r="B2125" t="str">
        <f t="shared" si="33"/>
        <v>01</v>
      </c>
    </row>
    <row r="2126" spans="2:2" x14ac:dyDescent="0.25">
      <c r="B2126" t="str">
        <f t="shared" si="33"/>
        <v>01</v>
      </c>
    </row>
    <row r="2127" spans="2:2" x14ac:dyDescent="0.25">
      <c r="B2127" t="str">
        <f t="shared" si="33"/>
        <v>01</v>
      </c>
    </row>
    <row r="2128" spans="2:2" x14ac:dyDescent="0.25">
      <c r="B2128" t="str">
        <f t="shared" si="33"/>
        <v>01</v>
      </c>
    </row>
    <row r="2129" spans="2:2" x14ac:dyDescent="0.25">
      <c r="B2129" t="str">
        <f t="shared" si="33"/>
        <v>01</v>
      </c>
    </row>
    <row r="2130" spans="2:2" x14ac:dyDescent="0.25">
      <c r="B2130" t="str">
        <f t="shared" si="33"/>
        <v>01</v>
      </c>
    </row>
    <row r="2131" spans="2:2" x14ac:dyDescent="0.25">
      <c r="B2131" t="str">
        <f t="shared" si="33"/>
        <v>01</v>
      </c>
    </row>
    <row r="2132" spans="2:2" x14ac:dyDescent="0.25">
      <c r="B2132" t="str">
        <f t="shared" si="33"/>
        <v>01</v>
      </c>
    </row>
    <row r="2133" spans="2:2" x14ac:dyDescent="0.25">
      <c r="B2133" t="str">
        <f t="shared" si="33"/>
        <v>01</v>
      </c>
    </row>
    <row r="2134" spans="2:2" x14ac:dyDescent="0.25">
      <c r="B2134" t="str">
        <f t="shared" si="33"/>
        <v>01</v>
      </c>
    </row>
    <row r="2135" spans="2:2" x14ac:dyDescent="0.25">
      <c r="B2135" t="str">
        <f t="shared" si="33"/>
        <v>01</v>
      </c>
    </row>
    <row r="2136" spans="2:2" x14ac:dyDescent="0.25">
      <c r="B2136" t="str">
        <f t="shared" si="33"/>
        <v>01</v>
      </c>
    </row>
    <row r="2137" spans="2:2" x14ac:dyDescent="0.25">
      <c r="B2137" t="str">
        <f t="shared" si="33"/>
        <v>01</v>
      </c>
    </row>
    <row r="2138" spans="2:2" x14ac:dyDescent="0.25">
      <c r="B2138" t="str">
        <f t="shared" si="33"/>
        <v>01</v>
      </c>
    </row>
    <row r="2139" spans="2:2" x14ac:dyDescent="0.25">
      <c r="B2139" t="str">
        <f t="shared" si="33"/>
        <v>01</v>
      </c>
    </row>
    <row r="2140" spans="2:2" x14ac:dyDescent="0.25">
      <c r="B2140" t="str">
        <f t="shared" si="33"/>
        <v>01</v>
      </c>
    </row>
    <row r="2141" spans="2:2" x14ac:dyDescent="0.25">
      <c r="B2141" t="str">
        <f t="shared" si="33"/>
        <v>01</v>
      </c>
    </row>
    <row r="2142" spans="2:2" x14ac:dyDescent="0.25">
      <c r="B2142" t="str">
        <f t="shared" si="33"/>
        <v>01</v>
      </c>
    </row>
    <row r="2143" spans="2:2" x14ac:dyDescent="0.25">
      <c r="B2143" t="str">
        <f t="shared" si="33"/>
        <v>01</v>
      </c>
    </row>
    <row r="2144" spans="2:2" x14ac:dyDescent="0.25">
      <c r="B2144" t="str">
        <f t="shared" si="33"/>
        <v>01</v>
      </c>
    </row>
    <row r="2145" spans="2:2" x14ac:dyDescent="0.25">
      <c r="B2145" t="str">
        <f t="shared" si="33"/>
        <v>01</v>
      </c>
    </row>
    <row r="2146" spans="2:2" x14ac:dyDescent="0.25">
      <c r="B2146" t="str">
        <f t="shared" si="33"/>
        <v>01</v>
      </c>
    </row>
    <row r="2147" spans="2:2" x14ac:dyDescent="0.25">
      <c r="B2147" t="str">
        <f t="shared" si="33"/>
        <v>01</v>
      </c>
    </row>
    <row r="2148" spans="2:2" x14ac:dyDescent="0.25">
      <c r="B2148" t="str">
        <f t="shared" si="33"/>
        <v>01</v>
      </c>
    </row>
    <row r="2149" spans="2:2" x14ac:dyDescent="0.25">
      <c r="B2149" t="str">
        <f t="shared" si="33"/>
        <v>01</v>
      </c>
    </row>
    <row r="2150" spans="2:2" x14ac:dyDescent="0.25">
      <c r="B2150" t="str">
        <f t="shared" si="33"/>
        <v>01</v>
      </c>
    </row>
    <row r="2151" spans="2:2" x14ac:dyDescent="0.25">
      <c r="B2151" t="str">
        <f t="shared" si="33"/>
        <v>01</v>
      </c>
    </row>
    <row r="2152" spans="2:2" x14ac:dyDescent="0.25">
      <c r="B2152" t="str">
        <f t="shared" si="33"/>
        <v>01</v>
      </c>
    </row>
    <row r="2153" spans="2:2" x14ac:dyDescent="0.25">
      <c r="B2153" t="str">
        <f t="shared" si="33"/>
        <v>01</v>
      </c>
    </row>
    <row r="2154" spans="2:2" x14ac:dyDescent="0.25">
      <c r="B2154" t="str">
        <f t="shared" si="33"/>
        <v>01</v>
      </c>
    </row>
    <row r="2155" spans="2:2" x14ac:dyDescent="0.25">
      <c r="B2155" t="str">
        <f t="shared" si="33"/>
        <v>01</v>
      </c>
    </row>
    <row r="2156" spans="2:2" x14ac:dyDescent="0.25">
      <c r="B2156" t="str">
        <f t="shared" si="33"/>
        <v>01</v>
      </c>
    </row>
    <row r="2157" spans="2:2" x14ac:dyDescent="0.25">
      <c r="B2157" t="str">
        <f t="shared" si="33"/>
        <v>01</v>
      </c>
    </row>
    <row r="2158" spans="2:2" x14ac:dyDescent="0.25">
      <c r="B2158" t="str">
        <f t="shared" si="33"/>
        <v>01</v>
      </c>
    </row>
    <row r="2159" spans="2:2" x14ac:dyDescent="0.25">
      <c r="B2159" t="str">
        <f t="shared" si="33"/>
        <v>01</v>
      </c>
    </row>
    <row r="2160" spans="2:2" x14ac:dyDescent="0.25">
      <c r="B2160" t="str">
        <f t="shared" si="33"/>
        <v>01</v>
      </c>
    </row>
    <row r="2161" spans="2:2" x14ac:dyDescent="0.25">
      <c r="B2161" t="str">
        <f t="shared" si="33"/>
        <v>01</v>
      </c>
    </row>
    <row r="2162" spans="2:2" x14ac:dyDescent="0.25">
      <c r="B2162" t="str">
        <f t="shared" si="33"/>
        <v>01</v>
      </c>
    </row>
    <row r="2163" spans="2:2" x14ac:dyDescent="0.25">
      <c r="B2163" t="str">
        <f t="shared" si="33"/>
        <v>01</v>
      </c>
    </row>
    <row r="2164" spans="2:2" x14ac:dyDescent="0.25">
      <c r="B2164" t="str">
        <f t="shared" si="33"/>
        <v>01</v>
      </c>
    </row>
    <row r="2165" spans="2:2" x14ac:dyDescent="0.25">
      <c r="B2165" t="str">
        <f t="shared" si="33"/>
        <v>01</v>
      </c>
    </row>
    <row r="2166" spans="2:2" x14ac:dyDescent="0.25">
      <c r="B2166" t="str">
        <f t="shared" si="33"/>
        <v>01</v>
      </c>
    </row>
    <row r="2167" spans="2:2" x14ac:dyDescent="0.25">
      <c r="B2167" t="str">
        <f t="shared" si="33"/>
        <v>01</v>
      </c>
    </row>
    <row r="2168" spans="2:2" x14ac:dyDescent="0.25">
      <c r="B2168" t="str">
        <f t="shared" si="33"/>
        <v>01</v>
      </c>
    </row>
    <row r="2169" spans="2:2" x14ac:dyDescent="0.25">
      <c r="B2169" t="str">
        <f t="shared" si="33"/>
        <v>01</v>
      </c>
    </row>
    <row r="2170" spans="2:2" x14ac:dyDescent="0.25">
      <c r="B2170" t="str">
        <f t="shared" si="33"/>
        <v>01</v>
      </c>
    </row>
    <row r="2171" spans="2:2" x14ac:dyDescent="0.25">
      <c r="B2171" t="str">
        <f t="shared" si="33"/>
        <v>01</v>
      </c>
    </row>
    <row r="2172" spans="2:2" x14ac:dyDescent="0.25">
      <c r="B2172" t="str">
        <f t="shared" si="33"/>
        <v>01</v>
      </c>
    </row>
    <row r="2173" spans="2:2" x14ac:dyDescent="0.25">
      <c r="B2173" t="str">
        <f t="shared" si="33"/>
        <v>01</v>
      </c>
    </row>
    <row r="2174" spans="2:2" x14ac:dyDescent="0.25">
      <c r="B2174" t="str">
        <f t="shared" si="33"/>
        <v>01</v>
      </c>
    </row>
    <row r="2175" spans="2:2" x14ac:dyDescent="0.25">
      <c r="B2175" t="str">
        <f t="shared" si="33"/>
        <v>01</v>
      </c>
    </row>
    <row r="2176" spans="2:2" x14ac:dyDescent="0.25">
      <c r="B2176" t="str">
        <f t="shared" si="33"/>
        <v>01</v>
      </c>
    </row>
    <row r="2177" spans="2:2" x14ac:dyDescent="0.25">
      <c r="B2177" t="str">
        <f t="shared" si="33"/>
        <v>01</v>
      </c>
    </row>
    <row r="2178" spans="2:2" x14ac:dyDescent="0.25">
      <c r="B2178" t="str">
        <f t="shared" si="33"/>
        <v>01</v>
      </c>
    </row>
    <row r="2179" spans="2:2" x14ac:dyDescent="0.25">
      <c r="B2179" t="str">
        <f t="shared" si="33"/>
        <v>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5DE00"/>
  </sheetPr>
  <dimension ref="A1:T24"/>
  <sheetViews>
    <sheetView showGridLines="0" workbookViewId="0">
      <pane xSplit="3" ySplit="8" topLeftCell="D9" activePane="bottomRight" state="frozen"/>
      <selection pane="topRight" activeCell="E15" sqref="E15"/>
      <selection pane="bottomLeft" activeCell="E15" sqref="E15"/>
      <selection pane="bottomRight" activeCell="E15" sqref="E15"/>
    </sheetView>
  </sheetViews>
  <sheetFormatPr baseColWidth="10" defaultColWidth="11.44140625" defaultRowHeight="13.2" x14ac:dyDescent="0.25"/>
  <cols>
    <col min="1" max="1" width="1.88671875" style="10" customWidth="1"/>
    <col min="2" max="2" width="2.109375" style="10" customWidth="1"/>
    <col min="3" max="3" width="30.88671875" style="10" customWidth="1"/>
    <col min="4" max="4" width="13.5546875" style="47" customWidth="1"/>
    <col min="5" max="5" width="13.88671875" style="47" bestFit="1" customWidth="1"/>
    <col min="6" max="6" width="13.88671875" style="10" bestFit="1" customWidth="1"/>
    <col min="7" max="7" width="13.88671875" style="47" bestFit="1" customWidth="1"/>
    <col min="8" max="8" width="13.88671875" style="10" bestFit="1" customWidth="1"/>
    <col min="9" max="11" width="13.88671875" style="39" bestFit="1" customWidth="1"/>
    <col min="12" max="12" width="17.44140625" style="39" bestFit="1" customWidth="1"/>
    <col min="13" max="13" width="13.88671875" style="39" bestFit="1" customWidth="1"/>
    <col min="14" max="14" width="14.88671875" style="39" bestFit="1" customWidth="1"/>
    <col min="15" max="15" width="13.88671875" style="39" bestFit="1" customWidth="1"/>
    <col min="16" max="16" width="11.109375" style="39" customWidth="1"/>
    <col min="17" max="19" width="11.5546875" style="10" bestFit="1" customWidth="1"/>
    <col min="20" max="16384" width="11.44140625" style="10"/>
  </cols>
  <sheetData>
    <row r="1" spans="1:17" ht="13.8" thickBot="1" x14ac:dyDescent="0.3">
      <c r="A1" s="37"/>
      <c r="B1" s="37"/>
      <c r="C1" s="37"/>
      <c r="D1" s="49"/>
      <c r="E1" s="49"/>
      <c r="F1" s="38"/>
      <c r="G1" s="38"/>
      <c r="H1" s="38"/>
      <c r="I1" s="38"/>
      <c r="Q1" s="49"/>
    </row>
    <row r="2" spans="1:17" s="6" customFormat="1" ht="13.5" customHeight="1" x14ac:dyDescent="0.25">
      <c r="C2" s="4" t="s">
        <v>34</v>
      </c>
      <c r="D2" s="513" t="e">
        <f>+#REF!</f>
        <v>#REF!</v>
      </c>
      <c r="E2" s="513"/>
      <c r="F2" s="513"/>
      <c r="G2" s="513"/>
      <c r="H2" s="513"/>
      <c r="I2" s="513"/>
      <c r="J2" s="513"/>
      <c r="K2" s="514"/>
      <c r="L2" s="489" t="str">
        <f>+Resumen!E13</f>
        <v>P. LABORAL 6</v>
      </c>
      <c r="M2" s="511"/>
      <c r="N2" s="490"/>
    </row>
    <row r="3" spans="1:17" s="6" customFormat="1" ht="13.5" customHeight="1" thickBot="1" x14ac:dyDescent="0.3">
      <c r="C3" s="4" t="s">
        <v>50</v>
      </c>
      <c r="D3" s="515" t="e">
        <f>+#REF!</f>
        <v>#REF!</v>
      </c>
      <c r="E3" s="515"/>
      <c r="F3" s="515"/>
      <c r="G3" s="515"/>
      <c r="H3" s="515"/>
      <c r="I3" s="515"/>
      <c r="J3" s="515"/>
      <c r="K3" s="516"/>
      <c r="L3" s="491"/>
      <c r="M3" s="512"/>
      <c r="N3" s="492"/>
    </row>
    <row r="4" spans="1:17" s="6" customFormat="1" ht="13.8" x14ac:dyDescent="0.25">
      <c r="C4" s="5" t="s">
        <v>51</v>
      </c>
      <c r="D4" s="517" t="e">
        <f>+#REF!</f>
        <v>#REF!</v>
      </c>
      <c r="E4" s="517"/>
      <c r="F4" s="517"/>
      <c r="G4" s="517"/>
      <c r="H4" s="517"/>
      <c r="I4" s="517"/>
      <c r="J4" s="517"/>
      <c r="K4" s="517"/>
    </row>
    <row r="5" spans="1:17" ht="21" x14ac:dyDescent="0.4">
      <c r="A5" s="37"/>
      <c r="B5" s="37"/>
      <c r="C5" s="40"/>
      <c r="D5" s="38"/>
      <c r="E5" s="38"/>
      <c r="F5" s="41"/>
      <c r="G5" s="42"/>
      <c r="H5" s="49"/>
      <c r="I5" s="49"/>
      <c r="J5" s="43"/>
      <c r="N5" s="43"/>
      <c r="O5" s="43"/>
      <c r="P5" s="43"/>
      <c r="Q5" s="49"/>
    </row>
    <row r="6" spans="1:17" ht="20.399999999999999" x14ac:dyDescent="0.35">
      <c r="A6" s="37"/>
      <c r="B6" s="37"/>
      <c r="C6" s="58" t="s">
        <v>166</v>
      </c>
      <c r="D6" s="38"/>
      <c r="E6" s="38"/>
      <c r="F6" s="41"/>
      <c r="G6" s="42"/>
      <c r="H6" s="43"/>
      <c r="I6" s="43"/>
      <c r="J6" s="43"/>
      <c r="K6" s="43"/>
      <c r="L6" s="43"/>
      <c r="M6" s="43"/>
      <c r="N6" s="43"/>
      <c r="O6" s="43"/>
      <c r="P6" s="43"/>
      <c r="Q6" s="49"/>
    </row>
    <row r="7" spans="1:17" s="44" customFormat="1" ht="10.8" thickBot="1" x14ac:dyDescent="0.25"/>
    <row r="8" spans="1:17" ht="13.8" thickBot="1" x14ac:dyDescent="0.3">
      <c r="A8" s="37"/>
      <c r="B8" s="94"/>
      <c r="C8" s="95" t="s">
        <v>167</v>
      </c>
      <c r="D8" s="96">
        <f>+'Analisis General'!D7</f>
        <v>45688</v>
      </c>
      <c r="E8" s="96">
        <f>+'Analisis General'!E7</f>
        <v>45716</v>
      </c>
      <c r="F8" s="96">
        <f>+'Analisis General'!F7</f>
        <v>45747</v>
      </c>
      <c r="G8" s="96">
        <f>+'Analisis General'!G7</f>
        <v>45777</v>
      </c>
      <c r="H8" s="96">
        <f>+'Analisis General'!H7</f>
        <v>45808</v>
      </c>
      <c r="I8" s="96">
        <f>+'Analisis General'!I7</f>
        <v>45838</v>
      </c>
      <c r="J8" s="96">
        <f>+'Analisis General'!J7</f>
        <v>45869</v>
      </c>
      <c r="K8" s="96">
        <f>+'Analisis General'!K7</f>
        <v>45900</v>
      </c>
      <c r="L8" s="96">
        <f>+'Analisis General'!L7</f>
        <v>45930</v>
      </c>
      <c r="M8" s="96">
        <f>+'Analisis General'!M7</f>
        <v>45961</v>
      </c>
      <c r="N8" s="96">
        <f>+'Analisis General'!N7</f>
        <v>45991</v>
      </c>
      <c r="O8" s="96">
        <f>+'Analisis General'!O7</f>
        <v>46022</v>
      </c>
      <c r="P8" s="97" t="s">
        <v>118</v>
      </c>
      <c r="Q8" s="49"/>
    </row>
    <row r="9" spans="1:17" ht="13.8" thickBot="1" x14ac:dyDescent="0.3">
      <c r="A9" s="45"/>
      <c r="B9" s="98"/>
      <c r="C9" s="99" t="s">
        <v>168</v>
      </c>
      <c r="D9" s="103" t="e">
        <f>+'Analisis General'!#REF!</f>
        <v>#REF!</v>
      </c>
      <c r="E9" s="103" t="e">
        <f>+'Analisis General'!#REF!</f>
        <v>#REF!</v>
      </c>
      <c r="F9" s="103" t="e">
        <f>+'Analisis General'!#REF!</f>
        <v>#REF!</v>
      </c>
      <c r="G9" s="103" t="e">
        <f>+'Analisis General'!#REF!</f>
        <v>#REF!</v>
      </c>
      <c r="H9" s="103" t="e">
        <f>+'Analisis General'!#REF!</f>
        <v>#REF!</v>
      </c>
      <c r="I9" s="103" t="e">
        <f>+'Analisis General'!#REF!</f>
        <v>#REF!</v>
      </c>
      <c r="J9" s="103" t="e">
        <f>+'Analisis General'!#REF!</f>
        <v>#REF!</v>
      </c>
      <c r="K9" s="103" t="e">
        <f>+'Analisis General'!#REF!</f>
        <v>#REF!</v>
      </c>
      <c r="L9" s="103" t="e">
        <f>+'Analisis General'!#REF!</f>
        <v>#REF!</v>
      </c>
      <c r="M9" s="103" t="e">
        <f>+'Analisis General'!#REF!</f>
        <v>#REF!</v>
      </c>
      <c r="N9" s="103" t="e">
        <f>+'Analisis General'!#REF!</f>
        <v>#REF!</v>
      </c>
      <c r="O9" s="103" t="e">
        <f>+'Analisis General'!#REF!</f>
        <v>#REF!</v>
      </c>
      <c r="P9" s="104" t="e">
        <f>SUM(D9:O9)</f>
        <v>#REF!</v>
      </c>
      <c r="Q9" s="45"/>
    </row>
    <row r="10" spans="1:17" ht="13.8" thickBot="1" x14ac:dyDescent="0.3">
      <c r="A10" s="49"/>
      <c r="B10" s="27"/>
      <c r="C10" s="27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26"/>
      <c r="O10" s="26"/>
      <c r="P10" s="26"/>
      <c r="Q10" s="48"/>
    </row>
    <row r="11" spans="1:17" ht="13.8" thickBot="1" x14ac:dyDescent="0.3">
      <c r="A11" s="49"/>
      <c r="B11" s="108"/>
      <c r="C11" s="109" t="s">
        <v>169</v>
      </c>
      <c r="D11" s="65">
        <f>+D8</f>
        <v>45688</v>
      </c>
      <c r="E11" s="65">
        <f t="shared" ref="E11:O11" si="0">+E8</f>
        <v>45716</v>
      </c>
      <c r="F11" s="65">
        <f t="shared" si="0"/>
        <v>45747</v>
      </c>
      <c r="G11" s="65">
        <f t="shared" si="0"/>
        <v>45777</v>
      </c>
      <c r="H11" s="65">
        <f t="shared" si="0"/>
        <v>45808</v>
      </c>
      <c r="I11" s="65">
        <f t="shared" si="0"/>
        <v>45838</v>
      </c>
      <c r="J11" s="65">
        <f t="shared" si="0"/>
        <v>45869</v>
      </c>
      <c r="K11" s="65">
        <f t="shared" si="0"/>
        <v>45900</v>
      </c>
      <c r="L11" s="65">
        <f t="shared" si="0"/>
        <v>45930</v>
      </c>
      <c r="M11" s="65">
        <f t="shared" si="0"/>
        <v>45961</v>
      </c>
      <c r="N11" s="65">
        <f t="shared" si="0"/>
        <v>45991</v>
      </c>
      <c r="O11" s="65">
        <f t="shared" si="0"/>
        <v>46022</v>
      </c>
      <c r="P11" s="116" t="s">
        <v>118</v>
      </c>
      <c r="Q11" s="48"/>
    </row>
    <row r="12" spans="1:17" x14ac:dyDescent="0.25">
      <c r="A12" s="49"/>
      <c r="B12" s="110"/>
      <c r="C12" s="107" t="s">
        <v>170</v>
      </c>
      <c r="D12" s="111">
        <f>+'Analisis General'!D13</f>
        <v>0</v>
      </c>
      <c r="E12" s="111">
        <f>+'Analisis General'!E13</f>
        <v>0</v>
      </c>
      <c r="F12" s="111">
        <f>+'Analisis General'!F13</f>
        <v>0</v>
      </c>
      <c r="G12" s="111">
        <f>+'Analisis General'!G13</f>
        <v>0</v>
      </c>
      <c r="H12" s="111">
        <f>+'Analisis General'!H13</f>
        <v>0</v>
      </c>
      <c r="I12" s="111">
        <f>+'Analisis General'!I13</f>
        <v>0</v>
      </c>
      <c r="J12" s="111">
        <f>+'Analisis General'!J13</f>
        <v>0</v>
      </c>
      <c r="K12" s="111">
        <f>+'Analisis General'!K13</f>
        <v>0</v>
      </c>
      <c r="L12" s="111">
        <f>+'Analisis General'!L13</f>
        <v>0</v>
      </c>
      <c r="M12" s="111">
        <f>+'Analisis General'!M13</f>
        <v>0</v>
      </c>
      <c r="N12" s="111">
        <f>+'Analisis General'!N13</f>
        <v>0</v>
      </c>
      <c r="O12" s="111">
        <f>+'Analisis General'!O13</f>
        <v>0</v>
      </c>
      <c r="P12" s="114"/>
      <c r="Q12" s="48"/>
    </row>
    <row r="13" spans="1:17" x14ac:dyDescent="0.25">
      <c r="A13" s="49"/>
      <c r="B13" s="110"/>
      <c r="C13" s="107" t="s">
        <v>171</v>
      </c>
      <c r="D13" s="112">
        <v>0.03</v>
      </c>
      <c r="E13" s="112">
        <v>0.03</v>
      </c>
      <c r="F13" s="112">
        <v>0.03</v>
      </c>
      <c r="G13" s="112">
        <v>0.03</v>
      </c>
      <c r="H13" s="112">
        <v>0.03</v>
      </c>
      <c r="I13" s="112">
        <v>0.03</v>
      </c>
      <c r="J13" s="112">
        <v>0.03</v>
      </c>
      <c r="K13" s="112">
        <v>0.03</v>
      </c>
      <c r="L13" s="112">
        <v>0.03</v>
      </c>
      <c r="M13" s="112">
        <v>0.03</v>
      </c>
      <c r="N13" s="112">
        <v>0.03</v>
      </c>
      <c r="O13" s="112">
        <v>0.03</v>
      </c>
      <c r="P13" s="114"/>
      <c r="Q13" s="48"/>
    </row>
    <row r="14" spans="1:17" x14ac:dyDescent="0.25">
      <c r="A14" s="49"/>
      <c r="B14" s="110"/>
      <c r="C14" s="107" t="s">
        <v>172</v>
      </c>
      <c r="D14" s="117">
        <f>+D12*D13</f>
        <v>0</v>
      </c>
      <c r="E14" s="117">
        <f t="shared" ref="E14:O14" si="1">+E12*E13</f>
        <v>0</v>
      </c>
      <c r="F14" s="117">
        <f t="shared" si="1"/>
        <v>0</v>
      </c>
      <c r="G14" s="117">
        <f t="shared" si="1"/>
        <v>0</v>
      </c>
      <c r="H14" s="117">
        <f t="shared" si="1"/>
        <v>0</v>
      </c>
      <c r="I14" s="117">
        <f t="shared" si="1"/>
        <v>0</v>
      </c>
      <c r="J14" s="117">
        <f t="shared" si="1"/>
        <v>0</v>
      </c>
      <c r="K14" s="117">
        <f t="shared" si="1"/>
        <v>0</v>
      </c>
      <c r="L14" s="117">
        <f t="shared" si="1"/>
        <v>0</v>
      </c>
      <c r="M14" s="117">
        <f t="shared" si="1"/>
        <v>0</v>
      </c>
      <c r="N14" s="117">
        <f t="shared" si="1"/>
        <v>0</v>
      </c>
      <c r="O14" s="117">
        <f t="shared" si="1"/>
        <v>0</v>
      </c>
      <c r="P14" s="114"/>
      <c r="Q14" s="48"/>
    </row>
    <row r="15" spans="1:17" ht="13.8" thickBot="1" x14ac:dyDescent="0.3">
      <c r="A15" s="49"/>
      <c r="B15" s="110"/>
      <c r="C15" s="107" t="s">
        <v>173</v>
      </c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4"/>
      <c r="Q15" s="48"/>
    </row>
    <row r="16" spans="1:17" ht="13.8" thickBot="1" x14ac:dyDescent="0.3">
      <c r="A16" s="49"/>
      <c r="B16" s="110"/>
      <c r="C16" s="107" t="s">
        <v>54</v>
      </c>
      <c r="D16" s="117" t="e">
        <f t="shared" ref="D16:O16" si="2">+D9-D14</f>
        <v>#REF!</v>
      </c>
      <c r="E16" s="117" t="e">
        <f t="shared" si="2"/>
        <v>#REF!</v>
      </c>
      <c r="F16" s="117" t="e">
        <f t="shared" si="2"/>
        <v>#REF!</v>
      </c>
      <c r="G16" s="117" t="e">
        <f t="shared" si="2"/>
        <v>#REF!</v>
      </c>
      <c r="H16" s="117" t="e">
        <f t="shared" si="2"/>
        <v>#REF!</v>
      </c>
      <c r="I16" s="117" t="e">
        <f t="shared" si="2"/>
        <v>#REF!</v>
      </c>
      <c r="J16" s="117" t="e">
        <f t="shared" si="2"/>
        <v>#REF!</v>
      </c>
      <c r="K16" s="117" t="e">
        <f t="shared" si="2"/>
        <v>#REF!</v>
      </c>
      <c r="L16" s="117" t="e">
        <f t="shared" si="2"/>
        <v>#REF!</v>
      </c>
      <c r="M16" s="117" t="e">
        <f t="shared" si="2"/>
        <v>#REF!</v>
      </c>
      <c r="N16" s="117" t="e">
        <f t="shared" si="2"/>
        <v>#REF!</v>
      </c>
      <c r="O16" s="117" t="e">
        <f t="shared" si="2"/>
        <v>#REF!</v>
      </c>
      <c r="P16" s="119" t="e">
        <f>SUM(D16:O16)</f>
        <v>#REF!</v>
      </c>
      <c r="Q16" s="48"/>
    </row>
    <row r="17" spans="2:20" ht="13.8" thickBot="1" x14ac:dyDescent="0.3">
      <c r="B17" s="110"/>
      <c r="C17" s="107" t="s">
        <v>174</v>
      </c>
      <c r="D17" s="112" t="e">
        <f>+D16/D9</f>
        <v>#REF!</v>
      </c>
      <c r="E17" s="113" t="e">
        <f t="shared" ref="E17:O17" si="3">+E16/E9</f>
        <v>#REF!</v>
      </c>
      <c r="F17" s="113" t="e">
        <f t="shared" si="3"/>
        <v>#REF!</v>
      </c>
      <c r="G17" s="113" t="e">
        <f t="shared" si="3"/>
        <v>#REF!</v>
      </c>
      <c r="H17" s="113" t="e">
        <f t="shared" si="3"/>
        <v>#REF!</v>
      </c>
      <c r="I17" s="113" t="e">
        <f t="shared" si="3"/>
        <v>#REF!</v>
      </c>
      <c r="J17" s="113" t="e">
        <f t="shared" si="3"/>
        <v>#REF!</v>
      </c>
      <c r="K17" s="113" t="e">
        <f t="shared" si="3"/>
        <v>#REF!</v>
      </c>
      <c r="L17" s="113" t="e">
        <f t="shared" si="3"/>
        <v>#REF!</v>
      </c>
      <c r="M17" s="113" t="e">
        <f t="shared" si="3"/>
        <v>#REF!</v>
      </c>
      <c r="N17" s="113" t="e">
        <f t="shared" si="3"/>
        <v>#REF!</v>
      </c>
      <c r="O17" s="113" t="e">
        <f t="shared" si="3"/>
        <v>#REF!</v>
      </c>
      <c r="P17" s="115"/>
      <c r="Q17" s="48"/>
      <c r="R17" s="49"/>
      <c r="S17" s="49"/>
      <c r="T17" s="49"/>
    </row>
    <row r="18" spans="2:20" ht="13.8" thickBot="1" x14ac:dyDescent="0.3">
      <c r="B18" s="101"/>
      <c r="C18" s="102" t="s">
        <v>175</v>
      </c>
      <c r="D18" s="508"/>
      <c r="E18" s="509"/>
      <c r="F18" s="509"/>
      <c r="G18" s="509"/>
      <c r="H18" s="509"/>
      <c r="I18" s="509"/>
      <c r="J18" s="509"/>
      <c r="K18" s="509"/>
      <c r="L18" s="509"/>
      <c r="M18" s="509"/>
      <c r="N18" s="509"/>
      <c r="O18" s="509"/>
      <c r="P18" s="510"/>
      <c r="Q18" s="48"/>
      <c r="R18" s="49"/>
      <c r="S18" s="49"/>
      <c r="T18" s="49"/>
    </row>
    <row r="19" spans="2:20" x14ac:dyDescent="0.25">
      <c r="B19" s="49"/>
      <c r="C19" s="49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7"/>
      <c r="O19" s="47"/>
      <c r="P19" s="47"/>
      <c r="Q19" s="48"/>
      <c r="R19" s="49"/>
      <c r="S19" s="49"/>
      <c r="T19" s="49"/>
    </row>
    <row r="21" spans="2:20" x14ac:dyDescent="0.25">
      <c r="B21" s="49"/>
      <c r="C21" s="42"/>
      <c r="D21" s="42"/>
      <c r="E21" s="42"/>
      <c r="F21" s="42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</row>
    <row r="22" spans="2:20" x14ac:dyDescent="0.25">
      <c r="B22" s="49"/>
      <c r="C22" s="42"/>
      <c r="D22" s="42"/>
      <c r="E22" s="42"/>
      <c r="F22" s="42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</row>
    <row r="23" spans="2:20" x14ac:dyDescent="0.25">
      <c r="B23" s="49"/>
      <c r="C23" s="49"/>
      <c r="D23" s="52" t="e">
        <f>+#REF!</f>
        <v>#REF!</v>
      </c>
      <c r="F23" s="49"/>
      <c r="H23" s="49"/>
      <c r="L23" s="52" t="e">
        <f>+#REF!</f>
        <v>#REF!</v>
      </c>
      <c r="Q23" s="49"/>
      <c r="R23" s="49"/>
      <c r="S23" s="49"/>
      <c r="T23" s="49"/>
    </row>
    <row r="24" spans="2:20" x14ac:dyDescent="0.25">
      <c r="B24" s="49"/>
      <c r="C24" s="49"/>
      <c r="D24" s="8" t="e">
        <f>LEFT(#REF!,7)</f>
        <v>#REF!</v>
      </c>
      <c r="E24" s="49"/>
      <c r="F24" s="49"/>
      <c r="G24" s="49"/>
      <c r="H24" s="49"/>
      <c r="I24" s="49"/>
      <c r="J24" s="8"/>
      <c r="K24" s="8"/>
      <c r="L24" s="8" t="e">
        <f>LEFT(#REF!,10)</f>
        <v>#REF!</v>
      </c>
      <c r="M24" s="49"/>
      <c r="N24" s="49"/>
      <c r="O24" s="49"/>
      <c r="P24" s="49"/>
      <c r="Q24" s="49"/>
      <c r="R24" s="49"/>
      <c r="S24" s="49"/>
      <c r="T24" s="49"/>
    </row>
  </sheetData>
  <mergeCells count="5">
    <mergeCell ref="D18:P18"/>
    <mergeCell ref="L2:N3"/>
    <mergeCell ref="D2:K2"/>
    <mergeCell ref="D3:K3"/>
    <mergeCell ref="D4:K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S76"/>
  <sheetViews>
    <sheetView showGridLines="0" workbookViewId="0">
      <selection activeCell="E15" sqref="E15"/>
    </sheetView>
  </sheetViews>
  <sheetFormatPr baseColWidth="10" defaultColWidth="11.44140625" defaultRowHeight="13.2" x14ac:dyDescent="0.25"/>
  <cols>
    <col min="2" max="2" width="44.88671875" customWidth="1"/>
    <col min="3" max="3" width="12.44140625" style="17" customWidth="1"/>
    <col min="4" max="4" width="12.44140625" customWidth="1"/>
    <col min="5" max="5" width="10" customWidth="1"/>
    <col min="6" max="6" width="50.44140625" customWidth="1"/>
  </cols>
  <sheetData>
    <row r="1" spans="1:253" ht="13.8" thickBot="1" x14ac:dyDescent="0.3"/>
    <row r="2" spans="1:253" ht="13.5" customHeight="1" x14ac:dyDescent="0.25">
      <c r="B2" s="4" t="s">
        <v>34</v>
      </c>
      <c r="C2" s="523" t="e">
        <f>+#REF!</f>
        <v>#REF!</v>
      </c>
      <c r="D2" s="513"/>
      <c r="E2" s="514"/>
      <c r="F2" s="521" t="str">
        <f>+Resumen!E24</f>
        <v>P. LABORAL 10</v>
      </c>
    </row>
    <row r="3" spans="1:253" ht="13.5" customHeight="1" thickBot="1" x14ac:dyDescent="0.3">
      <c r="B3" s="4" t="s">
        <v>50</v>
      </c>
      <c r="C3" s="524" t="e">
        <f>+#REF!</f>
        <v>#REF!</v>
      </c>
      <c r="D3" s="515"/>
      <c r="E3" s="516"/>
      <c r="F3" s="522"/>
    </row>
    <row r="4" spans="1:253" ht="13.8" x14ac:dyDescent="0.25">
      <c r="B4" s="4" t="s">
        <v>51</v>
      </c>
      <c r="C4" s="525" t="e">
        <f>+#REF!</f>
        <v>#REF!</v>
      </c>
      <c r="D4" s="517"/>
      <c r="E4" s="517"/>
    </row>
    <row r="5" spans="1:253" ht="14.4" thickBot="1" x14ac:dyDescent="0.35">
      <c r="A5" s="21"/>
      <c r="B5" s="21"/>
      <c r="C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</row>
    <row r="6" spans="1:253" ht="17.399999999999999" thickBot="1" x14ac:dyDescent="0.35">
      <c r="B6" s="518" t="s">
        <v>176</v>
      </c>
      <c r="C6" s="519"/>
      <c r="D6" s="519"/>
      <c r="E6" s="519"/>
      <c r="F6" s="520"/>
    </row>
    <row r="7" spans="1:253" ht="13.8" thickBot="1" x14ac:dyDescent="0.3">
      <c r="B7" s="49"/>
    </row>
    <row r="8" spans="1:253" ht="13.8" thickBot="1" x14ac:dyDescent="0.3">
      <c r="B8" s="4" t="s">
        <v>177</v>
      </c>
      <c r="F8" s="20" t="s">
        <v>178</v>
      </c>
    </row>
    <row r="9" spans="1:253" ht="17.399999999999999" thickBot="1" x14ac:dyDescent="0.35">
      <c r="B9" s="19"/>
      <c r="F9" s="17"/>
    </row>
    <row r="10" spans="1:253" ht="13.8" thickBot="1" x14ac:dyDescent="0.3">
      <c r="B10" s="4" t="s">
        <v>179</v>
      </c>
      <c r="F10" s="18" t="s">
        <v>180</v>
      </c>
    </row>
    <row r="11" spans="1:253" ht="17.399999999999999" thickBot="1" x14ac:dyDescent="0.35">
      <c r="B11" s="19"/>
      <c r="F11" s="17"/>
    </row>
    <row r="12" spans="1:253" ht="13.8" thickBot="1" x14ac:dyDescent="0.3">
      <c r="B12" s="4" t="s">
        <v>181</v>
      </c>
      <c r="F12" s="18" t="s">
        <v>182</v>
      </c>
    </row>
    <row r="13" spans="1:253" ht="13.8" thickBot="1" x14ac:dyDescent="0.3"/>
    <row r="14" spans="1:253" x14ac:dyDescent="0.25">
      <c r="B14" s="122"/>
      <c r="C14" s="123"/>
      <c r="D14" s="123"/>
      <c r="E14" s="124"/>
      <c r="F14" s="125"/>
    </row>
    <row r="15" spans="1:253" x14ac:dyDescent="0.25">
      <c r="B15" s="126" t="s">
        <v>183</v>
      </c>
      <c r="C15" s="126" t="s">
        <v>184</v>
      </c>
      <c r="D15" s="126" t="s">
        <v>185</v>
      </c>
      <c r="E15" s="127" t="s">
        <v>11</v>
      </c>
      <c r="F15" s="128" t="s">
        <v>186</v>
      </c>
    </row>
    <row r="16" spans="1:253" ht="13.8" thickBot="1" x14ac:dyDescent="0.3">
      <c r="B16" s="129"/>
      <c r="C16" s="129"/>
      <c r="D16" s="129"/>
      <c r="E16" s="130"/>
      <c r="F16" s="131"/>
    </row>
    <row r="17" spans="2:6" ht="53.4" thickBot="1" x14ac:dyDescent="0.3">
      <c r="B17" s="431" t="s">
        <v>187</v>
      </c>
      <c r="C17" s="432"/>
      <c r="D17" s="432"/>
      <c r="E17" s="432"/>
      <c r="F17" s="432"/>
    </row>
    <row r="18" spans="2:6" ht="27" thickBot="1" x14ac:dyDescent="0.3">
      <c r="B18" s="431" t="s">
        <v>188</v>
      </c>
      <c r="C18" s="432"/>
      <c r="D18" s="432"/>
      <c r="E18" s="432"/>
      <c r="F18" s="432"/>
    </row>
    <row r="19" spans="2:6" ht="27" thickBot="1" x14ac:dyDescent="0.3">
      <c r="B19" s="431" t="s">
        <v>189</v>
      </c>
      <c r="C19" s="432"/>
      <c r="D19" s="432"/>
      <c r="E19" s="432"/>
      <c r="F19" s="432"/>
    </row>
    <row r="20" spans="2:6" ht="40.200000000000003" thickBot="1" x14ac:dyDescent="0.3">
      <c r="B20" s="431" t="s">
        <v>190</v>
      </c>
      <c r="C20" s="432"/>
      <c r="D20" s="432"/>
      <c r="E20" s="432"/>
      <c r="F20" s="432"/>
    </row>
    <row r="21" spans="2:6" ht="40.200000000000003" thickBot="1" x14ac:dyDescent="0.3">
      <c r="B21" s="431" t="s">
        <v>191</v>
      </c>
      <c r="C21" s="432"/>
      <c r="D21" s="432"/>
      <c r="E21" s="432"/>
      <c r="F21" s="432"/>
    </row>
    <row r="22" spans="2:6" ht="40.200000000000003" thickBot="1" x14ac:dyDescent="0.3">
      <c r="B22" s="431" t="s">
        <v>192</v>
      </c>
      <c r="C22" s="432"/>
      <c r="D22" s="432"/>
      <c r="E22" s="432"/>
      <c r="F22" s="432"/>
    </row>
    <row r="23" spans="2:6" ht="13.8" thickBot="1" x14ac:dyDescent="0.3">
      <c r="B23" s="431" t="s">
        <v>193</v>
      </c>
      <c r="C23" s="432"/>
      <c r="D23" s="432"/>
      <c r="E23" s="432"/>
      <c r="F23" s="432"/>
    </row>
    <row r="24" spans="2:6" ht="40.200000000000003" thickBot="1" x14ac:dyDescent="0.3">
      <c r="B24" s="431" t="s">
        <v>194</v>
      </c>
      <c r="C24" s="432"/>
      <c r="D24" s="432"/>
      <c r="E24" s="432"/>
      <c r="F24" s="432"/>
    </row>
    <row r="25" spans="2:6" ht="40.200000000000003" thickBot="1" x14ac:dyDescent="0.3">
      <c r="B25" s="431" t="s">
        <v>195</v>
      </c>
      <c r="C25" s="432"/>
      <c r="D25" s="432"/>
      <c r="E25" s="432"/>
      <c r="F25" s="432"/>
    </row>
    <row r="26" spans="2:6" ht="53.4" thickBot="1" x14ac:dyDescent="0.3">
      <c r="B26" s="431" t="s">
        <v>196</v>
      </c>
      <c r="C26" s="432"/>
      <c r="D26" s="432"/>
      <c r="E26" s="432"/>
      <c r="F26" s="432"/>
    </row>
    <row r="27" spans="2:6" ht="27" thickBot="1" x14ac:dyDescent="0.3">
      <c r="B27" s="431" t="s">
        <v>197</v>
      </c>
      <c r="C27" s="432"/>
      <c r="D27" s="432"/>
      <c r="E27" s="432"/>
      <c r="F27" s="432"/>
    </row>
    <row r="28" spans="2:6" ht="27" thickBot="1" x14ac:dyDescent="0.3">
      <c r="B28" s="431" t="s">
        <v>198</v>
      </c>
      <c r="C28" s="432"/>
      <c r="D28" s="432"/>
      <c r="E28" s="432"/>
      <c r="F28" s="432"/>
    </row>
    <row r="29" spans="2:6" ht="27" thickBot="1" x14ac:dyDescent="0.3">
      <c r="B29" s="431" t="s">
        <v>199</v>
      </c>
      <c r="C29" s="432"/>
      <c r="D29" s="432"/>
      <c r="E29" s="432"/>
      <c r="F29" s="432"/>
    </row>
    <row r="30" spans="2:6" ht="27" thickBot="1" x14ac:dyDescent="0.3">
      <c r="B30" s="431" t="s">
        <v>200</v>
      </c>
      <c r="C30" s="432"/>
      <c r="D30" s="432"/>
      <c r="E30" s="432"/>
      <c r="F30" s="432"/>
    </row>
    <row r="31" spans="2:6" ht="13.8" thickBot="1" x14ac:dyDescent="0.3">
      <c r="B31" s="431" t="s">
        <v>201</v>
      </c>
      <c r="C31" s="432"/>
      <c r="D31" s="432"/>
      <c r="E31" s="432"/>
      <c r="F31" s="432"/>
    </row>
    <row r="32" spans="2:6" ht="27" thickBot="1" x14ac:dyDescent="0.3">
      <c r="B32" s="431" t="s">
        <v>202</v>
      </c>
      <c r="C32" s="432"/>
      <c r="D32" s="432"/>
      <c r="E32" s="432"/>
      <c r="F32" s="432"/>
    </row>
    <row r="33" spans="2:6" ht="27" thickBot="1" x14ac:dyDescent="0.3">
      <c r="B33" s="431" t="s">
        <v>203</v>
      </c>
      <c r="C33" s="432"/>
      <c r="D33" s="432"/>
      <c r="E33" s="432"/>
      <c r="F33" s="432"/>
    </row>
    <row r="34" spans="2:6" ht="27" thickBot="1" x14ac:dyDescent="0.3">
      <c r="B34" s="431" t="s">
        <v>204</v>
      </c>
      <c r="C34" s="432"/>
      <c r="D34" s="432"/>
      <c r="E34" s="432"/>
      <c r="F34" s="432"/>
    </row>
    <row r="35" spans="2:6" ht="27" thickBot="1" x14ac:dyDescent="0.3">
      <c r="B35" s="431" t="s">
        <v>205</v>
      </c>
      <c r="C35" s="432"/>
      <c r="D35" s="432"/>
      <c r="E35" s="432"/>
      <c r="F35" s="432"/>
    </row>
    <row r="36" spans="2:6" ht="13.8" thickBot="1" x14ac:dyDescent="0.3">
      <c r="B36" s="431" t="s">
        <v>206</v>
      </c>
      <c r="C36" s="432"/>
      <c r="D36" s="432"/>
      <c r="E36" s="432"/>
      <c r="F36" s="432"/>
    </row>
    <row r="37" spans="2:6" ht="13.8" thickBot="1" x14ac:dyDescent="0.3">
      <c r="B37" s="431" t="s">
        <v>207</v>
      </c>
      <c r="C37" s="432"/>
      <c r="D37" s="432"/>
      <c r="E37" s="432"/>
      <c r="F37" s="432"/>
    </row>
    <row r="38" spans="2:6" ht="13.8" thickBot="1" x14ac:dyDescent="0.3">
      <c r="B38" s="431" t="s">
        <v>208</v>
      </c>
      <c r="C38" s="432"/>
      <c r="D38" s="432"/>
      <c r="E38" s="432"/>
      <c r="F38" s="432"/>
    </row>
    <row r="39" spans="2:6" ht="13.8" thickBot="1" x14ac:dyDescent="0.3">
      <c r="B39" s="431" t="s">
        <v>209</v>
      </c>
      <c r="C39" s="432"/>
      <c r="D39" s="432"/>
      <c r="E39" s="432"/>
      <c r="F39" s="432"/>
    </row>
    <row r="40" spans="2:6" ht="13.8" thickBot="1" x14ac:dyDescent="0.3">
      <c r="B40" s="431" t="s">
        <v>210</v>
      </c>
      <c r="C40" s="432"/>
      <c r="D40" s="432"/>
      <c r="E40" s="432"/>
      <c r="F40" s="432"/>
    </row>
    <row r="41" spans="2:6" ht="13.8" thickBot="1" x14ac:dyDescent="0.3">
      <c r="B41" s="431" t="s">
        <v>211</v>
      </c>
      <c r="C41" s="432"/>
      <c r="D41" s="432"/>
      <c r="E41" s="432"/>
      <c r="F41" s="432"/>
    </row>
    <row r="42" spans="2:6" ht="13.8" thickBot="1" x14ac:dyDescent="0.3">
      <c r="B42" s="431" t="s">
        <v>212</v>
      </c>
      <c r="C42" s="432"/>
      <c r="D42" s="432"/>
      <c r="E42" s="432"/>
      <c r="F42" s="432"/>
    </row>
    <row r="43" spans="2:6" ht="13.8" thickBot="1" x14ac:dyDescent="0.3">
      <c r="B43" s="431" t="s">
        <v>213</v>
      </c>
      <c r="C43" s="432"/>
      <c r="D43" s="432"/>
      <c r="E43" s="432"/>
      <c r="F43" s="432"/>
    </row>
    <row r="44" spans="2:6" ht="13.8" thickBot="1" x14ac:dyDescent="0.3">
      <c r="B44" s="431" t="s">
        <v>214</v>
      </c>
      <c r="C44" s="432"/>
      <c r="D44" s="432"/>
      <c r="E44" s="432"/>
      <c r="F44" s="432"/>
    </row>
    <row r="45" spans="2:6" ht="40.200000000000003" thickBot="1" x14ac:dyDescent="0.3">
      <c r="B45" s="431" t="s">
        <v>215</v>
      </c>
      <c r="C45" s="432"/>
      <c r="D45" s="432"/>
      <c r="E45" s="432"/>
      <c r="F45" s="432"/>
    </row>
    <row r="46" spans="2:6" ht="27" thickBot="1" x14ac:dyDescent="0.3">
      <c r="B46" s="431" t="s">
        <v>216</v>
      </c>
      <c r="C46" s="432"/>
      <c r="D46" s="432"/>
      <c r="E46" s="432"/>
      <c r="F46" s="432"/>
    </row>
    <row r="47" spans="2:6" ht="40.200000000000003" thickBot="1" x14ac:dyDescent="0.3">
      <c r="B47" s="431" t="s">
        <v>217</v>
      </c>
      <c r="C47" s="432"/>
      <c r="D47" s="432"/>
      <c r="E47" s="432"/>
      <c r="F47" s="432"/>
    </row>
    <row r="48" spans="2:6" ht="40.200000000000003" thickBot="1" x14ac:dyDescent="0.3">
      <c r="B48" s="431" t="s">
        <v>218</v>
      </c>
      <c r="C48" s="432"/>
      <c r="D48" s="432"/>
      <c r="E48" s="432"/>
      <c r="F48" s="432"/>
    </row>
    <row r="49" spans="2:6" ht="13.8" thickBot="1" x14ac:dyDescent="0.3">
      <c r="B49" s="431" t="s">
        <v>219</v>
      </c>
      <c r="C49" s="432"/>
      <c r="D49" s="432"/>
      <c r="E49" s="432"/>
      <c r="F49" s="432"/>
    </row>
    <row r="50" spans="2:6" ht="27" thickBot="1" x14ac:dyDescent="0.3">
      <c r="B50" s="431" t="s">
        <v>220</v>
      </c>
      <c r="C50" s="432"/>
      <c r="D50" s="432"/>
      <c r="E50" s="432"/>
      <c r="F50" s="432"/>
    </row>
    <row r="51" spans="2:6" ht="27" thickBot="1" x14ac:dyDescent="0.3">
      <c r="B51" s="431" t="s">
        <v>221</v>
      </c>
      <c r="C51" s="432"/>
      <c r="D51" s="432"/>
      <c r="E51" s="432"/>
      <c r="F51" s="432"/>
    </row>
    <row r="52" spans="2:6" ht="27" thickBot="1" x14ac:dyDescent="0.3">
      <c r="B52" s="431" t="s">
        <v>222</v>
      </c>
      <c r="C52" s="432"/>
      <c r="D52" s="432"/>
      <c r="E52" s="432"/>
      <c r="F52" s="432"/>
    </row>
    <row r="53" spans="2:6" ht="27" thickBot="1" x14ac:dyDescent="0.3">
      <c r="B53" s="431" t="s">
        <v>223</v>
      </c>
      <c r="C53" s="432"/>
      <c r="D53" s="432"/>
      <c r="E53" s="432"/>
      <c r="F53" s="432"/>
    </row>
    <row r="54" spans="2:6" ht="27" thickBot="1" x14ac:dyDescent="0.3">
      <c r="B54" s="431" t="s">
        <v>224</v>
      </c>
      <c r="C54" s="432"/>
      <c r="D54" s="432"/>
      <c r="E54" s="432"/>
      <c r="F54" s="432"/>
    </row>
    <row r="55" spans="2:6" ht="27" thickBot="1" x14ac:dyDescent="0.3">
      <c r="B55" s="431" t="s">
        <v>225</v>
      </c>
      <c r="C55" s="432"/>
      <c r="D55" s="432"/>
      <c r="E55" s="432"/>
      <c r="F55" s="432"/>
    </row>
    <row r="56" spans="2:6" ht="27" thickBot="1" x14ac:dyDescent="0.3">
      <c r="B56" s="431" t="s">
        <v>226</v>
      </c>
      <c r="C56" s="432"/>
      <c r="D56" s="432"/>
      <c r="E56" s="432"/>
      <c r="F56" s="432"/>
    </row>
    <row r="57" spans="2:6" ht="13.8" thickBot="1" x14ac:dyDescent="0.3">
      <c r="B57" s="431" t="s">
        <v>227</v>
      </c>
      <c r="C57" s="432"/>
      <c r="D57" s="432"/>
      <c r="E57" s="432"/>
      <c r="F57" s="432"/>
    </row>
    <row r="58" spans="2:6" ht="27" thickBot="1" x14ac:dyDescent="0.3">
      <c r="B58" s="431" t="s">
        <v>228</v>
      </c>
      <c r="C58" s="432"/>
      <c r="D58" s="432"/>
      <c r="E58" s="432"/>
      <c r="F58" s="432"/>
    </row>
    <row r="59" spans="2:6" ht="27" thickBot="1" x14ac:dyDescent="0.3">
      <c r="B59" s="431" t="s">
        <v>229</v>
      </c>
      <c r="C59" s="432"/>
      <c r="D59" s="432"/>
      <c r="E59" s="432"/>
      <c r="F59" s="432"/>
    </row>
    <row r="60" spans="2:6" ht="40.200000000000003" thickBot="1" x14ac:dyDescent="0.3">
      <c r="B60" s="431" t="s">
        <v>230</v>
      </c>
      <c r="C60" s="432"/>
      <c r="D60" s="432"/>
      <c r="E60" s="432"/>
      <c r="F60" s="432"/>
    </row>
    <row r="61" spans="2:6" ht="13.8" thickBot="1" x14ac:dyDescent="0.3">
      <c r="B61" s="431" t="s">
        <v>231</v>
      </c>
      <c r="C61" s="432"/>
      <c r="D61" s="432"/>
      <c r="E61" s="432"/>
      <c r="F61" s="432"/>
    </row>
    <row r="62" spans="2:6" ht="13.8" thickBot="1" x14ac:dyDescent="0.3">
      <c r="B62" s="431" t="s">
        <v>232</v>
      </c>
      <c r="C62" s="432"/>
      <c r="D62" s="432"/>
      <c r="E62" s="432"/>
      <c r="F62" s="432"/>
    </row>
    <row r="63" spans="2:6" ht="13.8" thickBot="1" x14ac:dyDescent="0.3">
      <c r="B63" s="431" t="s">
        <v>233</v>
      </c>
      <c r="C63" s="432"/>
      <c r="D63" s="432"/>
      <c r="E63" s="432"/>
      <c r="F63" s="432"/>
    </row>
    <row r="64" spans="2:6" ht="13.8" thickBot="1" x14ac:dyDescent="0.3">
      <c r="B64" s="431" t="s">
        <v>234</v>
      </c>
      <c r="C64" s="432"/>
      <c r="D64" s="432"/>
      <c r="E64" s="432"/>
      <c r="F64" s="432"/>
    </row>
    <row r="65" spans="2:6" ht="13.8" thickBot="1" x14ac:dyDescent="0.3">
      <c r="B65" s="431" t="s">
        <v>235</v>
      </c>
      <c r="C65" s="432"/>
      <c r="D65" s="432"/>
      <c r="E65" s="432"/>
      <c r="F65" s="432"/>
    </row>
    <row r="66" spans="2:6" ht="13.8" thickBot="1" x14ac:dyDescent="0.3">
      <c r="B66" s="431" t="s">
        <v>236</v>
      </c>
      <c r="C66" s="432"/>
      <c r="D66" s="432"/>
      <c r="E66" s="432"/>
      <c r="F66" s="432"/>
    </row>
    <row r="67" spans="2:6" ht="27" thickBot="1" x14ac:dyDescent="0.3">
      <c r="B67" s="431" t="s">
        <v>237</v>
      </c>
      <c r="C67" s="432"/>
      <c r="D67" s="432"/>
      <c r="E67" s="432"/>
      <c r="F67" s="432"/>
    </row>
    <row r="68" spans="2:6" ht="13.8" thickBot="1" x14ac:dyDescent="0.3">
      <c r="B68" s="431" t="s">
        <v>238</v>
      </c>
      <c r="C68" s="432"/>
      <c r="D68" s="432"/>
      <c r="E68" s="432"/>
      <c r="F68" s="432"/>
    </row>
    <row r="69" spans="2:6" ht="13.8" thickBot="1" x14ac:dyDescent="0.3">
      <c r="B69" s="431" t="s">
        <v>239</v>
      </c>
      <c r="C69" s="432"/>
      <c r="D69" s="432"/>
      <c r="E69" s="432"/>
      <c r="F69" s="432"/>
    </row>
    <row r="70" spans="2:6" ht="27" thickBot="1" x14ac:dyDescent="0.3">
      <c r="B70" s="431" t="s">
        <v>240</v>
      </c>
      <c r="C70" s="432"/>
      <c r="D70" s="432"/>
      <c r="E70" s="432"/>
      <c r="F70" s="432"/>
    </row>
    <row r="71" spans="2:6" ht="27" thickBot="1" x14ac:dyDescent="0.3">
      <c r="B71" s="431" t="s">
        <v>241</v>
      </c>
      <c r="C71" s="432"/>
      <c r="D71" s="432"/>
      <c r="E71" s="432"/>
      <c r="F71" s="432"/>
    </row>
    <row r="72" spans="2:6" ht="27" thickBot="1" x14ac:dyDescent="0.3">
      <c r="B72" s="431" t="s">
        <v>242</v>
      </c>
      <c r="C72" s="432"/>
      <c r="D72" s="432"/>
      <c r="E72" s="432"/>
      <c r="F72" s="432"/>
    </row>
    <row r="75" spans="2:6" x14ac:dyDescent="0.25">
      <c r="B75" s="433" t="str">
        <f>+F10</f>
        <v>NOMBRE DEL ENTREVISTADO</v>
      </c>
      <c r="C75" s="433"/>
      <c r="D75" s="433"/>
      <c r="E75" s="433"/>
      <c r="F75" s="433" t="str">
        <f>+F12</f>
        <v>NOMBRE DEL AUDITOR A CARGO</v>
      </c>
    </row>
    <row r="76" spans="2:6" x14ac:dyDescent="0.25">
      <c r="B76" s="433" t="s">
        <v>243</v>
      </c>
      <c r="C76" s="433"/>
      <c r="D76" s="433"/>
      <c r="E76" s="433"/>
      <c r="F76" s="433" t="s">
        <v>244</v>
      </c>
    </row>
  </sheetData>
  <mergeCells count="5">
    <mergeCell ref="B6:F6"/>
    <mergeCell ref="F2:F3"/>
    <mergeCell ref="C2:E2"/>
    <mergeCell ref="C3:E3"/>
    <mergeCell ref="C4:E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8" fitToHeight="5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E7A93-C708-478C-B155-736BA79FC427}">
  <dimension ref="A1:IL7"/>
  <sheetViews>
    <sheetView workbookViewId="0">
      <selection activeCell="E15" sqref="E15"/>
    </sheetView>
  </sheetViews>
  <sheetFormatPr baseColWidth="10" defaultColWidth="11.44140625" defaultRowHeight="13.2" x14ac:dyDescent="0.25"/>
  <cols>
    <col min="1" max="1" width="13.5546875" customWidth="1"/>
    <col min="3" max="3" width="22.88671875" customWidth="1"/>
    <col min="4" max="4" width="12.88671875" bestFit="1" customWidth="1"/>
    <col min="5" max="5" width="17.109375" customWidth="1"/>
    <col min="6" max="6" width="20.44140625" customWidth="1"/>
    <col min="7" max="7" width="22.109375" customWidth="1"/>
  </cols>
  <sheetData>
    <row r="1" spans="1:246" ht="13.8" thickBot="1" x14ac:dyDescent="0.3"/>
    <row r="2" spans="1:246" ht="13.5" customHeight="1" thickBot="1" x14ac:dyDescent="0.3">
      <c r="A2" s="56" t="s">
        <v>34</v>
      </c>
      <c r="C2" s="526" t="e">
        <f>+#REF!</f>
        <v>#REF!</v>
      </c>
      <c r="D2" s="527"/>
      <c r="E2" s="528"/>
      <c r="F2" s="521" t="str">
        <f>+Resumen!E12</f>
        <v>P. LABORAL 5</v>
      </c>
      <c r="G2" s="105"/>
      <c r="I2" s="106"/>
    </row>
    <row r="3" spans="1:246" ht="13.5" customHeight="1" thickBot="1" x14ac:dyDescent="0.3">
      <c r="A3" s="56" t="s">
        <v>50</v>
      </c>
      <c r="C3" s="529" t="e">
        <f>+#REF!</f>
        <v>#REF!</v>
      </c>
      <c r="D3" s="530"/>
      <c r="E3" s="531"/>
      <c r="F3" s="522"/>
      <c r="G3" s="79"/>
      <c r="H3" s="106"/>
      <c r="I3" s="106"/>
    </row>
    <row r="4" spans="1:246" ht="14.4" thickBot="1" x14ac:dyDescent="0.3">
      <c r="A4" s="56" t="s">
        <v>51</v>
      </c>
      <c r="C4" s="532" t="e">
        <f>+#REF!</f>
        <v>#REF!</v>
      </c>
      <c r="D4" s="533"/>
      <c r="E4" s="533"/>
      <c r="F4" s="78"/>
      <c r="G4" s="78"/>
    </row>
    <row r="5" spans="1:246" ht="13.8" x14ac:dyDescent="0.3">
      <c r="A5" s="21"/>
      <c r="B5" s="21"/>
      <c r="C5" s="21"/>
      <c r="D5" s="21"/>
      <c r="E5" s="21"/>
      <c r="F5" s="21"/>
      <c r="G5" s="21"/>
      <c r="H5" s="21"/>
      <c r="I5" s="21"/>
      <c r="J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</row>
    <row r="6" spans="1:246" ht="15.6" x14ac:dyDescent="0.3">
      <c r="A6" s="36" t="s">
        <v>245</v>
      </c>
      <c r="B6" s="21"/>
      <c r="C6" s="21"/>
      <c r="D6" s="21"/>
      <c r="E6" s="21"/>
      <c r="F6" s="21"/>
      <c r="G6" s="21"/>
      <c r="H6" s="21"/>
      <c r="I6" s="21"/>
      <c r="J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</row>
    <row r="7" spans="1:246" ht="13.8" x14ac:dyDescent="0.3">
      <c r="A7" s="21"/>
      <c r="B7" s="21"/>
      <c r="C7" s="21"/>
      <c r="D7" s="21"/>
      <c r="E7" s="21"/>
      <c r="F7" s="21"/>
      <c r="G7" s="21"/>
      <c r="H7" s="21"/>
      <c r="I7" s="21"/>
      <c r="J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</row>
  </sheetData>
  <mergeCells count="4">
    <mergeCell ref="C2:E2"/>
    <mergeCell ref="F2:F3"/>
    <mergeCell ref="C3:E3"/>
    <mergeCell ref="C4:E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H42"/>
  <sheetViews>
    <sheetView showGridLines="0" topLeftCell="D11" zoomScaleNormal="90" workbookViewId="0">
      <selection activeCell="E15" sqref="E15"/>
    </sheetView>
  </sheetViews>
  <sheetFormatPr baseColWidth="10" defaultColWidth="11.44140625" defaultRowHeight="13.2" x14ac:dyDescent="0.25"/>
  <cols>
    <col min="1" max="1" width="11.44140625" style="7"/>
    <col min="2" max="2" width="55.88671875" style="7" customWidth="1"/>
    <col min="3" max="3" width="55.109375" style="7" customWidth="1"/>
    <col min="4" max="4" width="32.44140625" style="7" customWidth="1"/>
    <col min="5" max="5" width="24.5546875" style="12" customWidth="1"/>
    <col min="6" max="6" width="6.44140625" style="7" bestFit="1" customWidth="1"/>
    <col min="7" max="7" width="11.44140625" style="7"/>
    <col min="8" max="8" width="14.44140625" style="7" bestFit="1" customWidth="1"/>
    <col min="9" max="16384" width="11.44140625" style="7"/>
  </cols>
  <sheetData>
    <row r="1" spans="2:8" s="6" customFormat="1" ht="13.8" thickBot="1" x14ac:dyDescent="0.3">
      <c r="E1" s="11"/>
    </row>
    <row r="2" spans="2:8" s="6" customFormat="1" ht="14.4" thickBot="1" x14ac:dyDescent="0.3">
      <c r="B2" s="4" t="s">
        <v>34</v>
      </c>
      <c r="C2" s="22" t="e">
        <f>+#REF!</f>
        <v>#REF!</v>
      </c>
      <c r="E2" s="11"/>
    </row>
    <row r="3" spans="2:8" s="6" customFormat="1" ht="14.4" thickBot="1" x14ac:dyDescent="0.3">
      <c r="B3" s="4" t="s">
        <v>50</v>
      </c>
      <c r="C3" s="23" t="e">
        <f>+#REF!</f>
        <v>#REF!</v>
      </c>
      <c r="E3" s="11"/>
    </row>
    <row r="4" spans="2:8" s="6" customFormat="1" ht="14.4" thickBot="1" x14ac:dyDescent="0.3">
      <c r="B4" s="5" t="s">
        <v>51</v>
      </c>
      <c r="C4" s="24" t="e">
        <f>+#REF!</f>
        <v>#REF!</v>
      </c>
      <c r="E4" s="11"/>
    </row>
    <row r="5" spans="2:8" ht="24" customHeight="1" thickBot="1" x14ac:dyDescent="0.3">
      <c r="B5" s="64" t="s">
        <v>246</v>
      </c>
      <c r="C5" s="49"/>
      <c r="D5" s="434"/>
      <c r="E5" s="49"/>
      <c r="F5" s="49"/>
      <c r="G5" s="49"/>
      <c r="H5" s="49"/>
    </row>
    <row r="6" spans="2:8" ht="13.8" thickBot="1" x14ac:dyDescent="0.3">
      <c r="B6" s="60" t="s">
        <v>247</v>
      </c>
      <c r="C6" s="14" t="s">
        <v>248</v>
      </c>
      <c r="D6" s="15" t="s">
        <v>249</v>
      </c>
      <c r="E6" s="16" t="s">
        <v>250</v>
      </c>
      <c r="F6" s="49"/>
      <c r="G6" s="49"/>
      <c r="H6" s="435"/>
    </row>
    <row r="7" spans="2:8" ht="33" customHeight="1" thickBot="1" x14ac:dyDescent="0.3">
      <c r="B7" s="436" t="s">
        <v>251</v>
      </c>
      <c r="C7" s="436"/>
      <c r="D7" s="436"/>
      <c r="E7" s="80" t="s">
        <v>252</v>
      </c>
      <c r="F7" s="49"/>
      <c r="G7" s="49"/>
      <c r="H7" s="49"/>
    </row>
    <row r="8" spans="2:8" ht="33" customHeight="1" thickBot="1" x14ac:dyDescent="0.3">
      <c r="B8" s="437" t="s">
        <v>253</v>
      </c>
      <c r="C8" s="437"/>
      <c r="D8" s="437"/>
      <c r="E8" s="81" t="s">
        <v>254</v>
      </c>
      <c r="F8" s="49"/>
      <c r="G8" s="49"/>
      <c r="H8" s="49"/>
    </row>
    <row r="9" spans="2:8" ht="33" customHeight="1" thickBot="1" x14ac:dyDescent="0.3">
      <c r="B9" s="436" t="s">
        <v>255</v>
      </c>
      <c r="C9" s="436"/>
      <c r="D9" s="436"/>
      <c r="E9" s="80" t="s">
        <v>256</v>
      </c>
      <c r="F9" s="49"/>
      <c r="G9" s="49"/>
      <c r="H9" s="49"/>
    </row>
    <row r="10" spans="2:8" ht="33" customHeight="1" thickBot="1" x14ac:dyDescent="0.3">
      <c r="B10" s="437" t="s">
        <v>257</v>
      </c>
      <c r="C10" s="437"/>
      <c r="D10" s="437"/>
      <c r="E10" s="81" t="s">
        <v>258</v>
      </c>
      <c r="F10" s="49"/>
      <c r="G10" s="49"/>
      <c r="H10" s="49"/>
    </row>
    <row r="11" spans="2:8" ht="33" customHeight="1" thickBot="1" x14ac:dyDescent="0.3">
      <c r="B11" s="436" t="s">
        <v>259</v>
      </c>
      <c r="C11" s="436"/>
      <c r="D11" s="436"/>
      <c r="E11" s="80" t="str">
        <f>+E10</f>
        <v>P. LABORAL 4</v>
      </c>
      <c r="F11" s="49"/>
      <c r="G11" s="49"/>
      <c r="H11" s="49"/>
    </row>
    <row r="12" spans="2:8" ht="33" customHeight="1" thickBot="1" x14ac:dyDescent="0.3">
      <c r="B12" s="437" t="s">
        <v>260</v>
      </c>
      <c r="C12" s="437"/>
      <c r="D12" s="437"/>
      <c r="E12" s="81" t="s">
        <v>261</v>
      </c>
      <c r="F12" s="49"/>
      <c r="G12" s="49"/>
      <c r="H12" s="49"/>
    </row>
    <row r="13" spans="2:8" ht="33" customHeight="1" thickBot="1" x14ac:dyDescent="0.3">
      <c r="B13" s="436" t="s">
        <v>262</v>
      </c>
      <c r="C13" s="436"/>
      <c r="D13" s="436"/>
      <c r="E13" s="80" t="s">
        <v>263</v>
      </c>
      <c r="F13" s="49"/>
      <c r="G13" s="49"/>
      <c r="H13" s="49"/>
    </row>
    <row r="14" spans="2:8" ht="33" customHeight="1" thickBot="1" x14ac:dyDescent="0.3">
      <c r="B14" s="437" t="s">
        <v>264</v>
      </c>
      <c r="C14" s="437"/>
      <c r="D14" s="437"/>
      <c r="E14" s="81" t="s">
        <v>265</v>
      </c>
      <c r="F14" s="49"/>
      <c r="G14" s="49"/>
      <c r="H14" s="49"/>
    </row>
    <row r="15" spans="2:8" ht="33" customHeight="1" thickBot="1" x14ac:dyDescent="0.3">
      <c r="B15" s="436" t="s">
        <v>266</v>
      </c>
      <c r="C15" s="436"/>
      <c r="D15" s="436"/>
      <c r="E15" s="80" t="s">
        <v>267</v>
      </c>
      <c r="F15" s="49"/>
      <c r="G15" s="49"/>
      <c r="H15" s="49"/>
    </row>
    <row r="16" spans="2:8" ht="33" customHeight="1" thickBot="1" x14ac:dyDescent="0.3">
      <c r="B16" s="437" t="s">
        <v>268</v>
      </c>
      <c r="C16" s="437"/>
      <c r="D16" s="437"/>
      <c r="E16" s="81"/>
      <c r="F16" s="49"/>
      <c r="G16" s="49"/>
      <c r="H16" s="49"/>
    </row>
    <row r="17" spans="2:5" ht="33" customHeight="1" thickBot="1" x14ac:dyDescent="0.3">
      <c r="B17" s="436" t="s">
        <v>269</v>
      </c>
      <c r="C17" s="436"/>
      <c r="D17" s="436"/>
      <c r="E17" s="80"/>
    </row>
    <row r="18" spans="2:5" ht="33" customHeight="1" thickBot="1" x14ac:dyDescent="0.3">
      <c r="B18" s="437" t="s">
        <v>270</v>
      </c>
      <c r="C18" s="437"/>
      <c r="D18" s="437"/>
      <c r="E18" s="81"/>
    </row>
    <row r="19" spans="2:5" ht="33" customHeight="1" thickBot="1" x14ac:dyDescent="0.3">
      <c r="B19" s="436" t="s">
        <v>271</v>
      </c>
      <c r="C19" s="436"/>
      <c r="D19" s="436"/>
      <c r="E19" s="80"/>
    </row>
    <row r="20" spans="2:5" ht="33" customHeight="1" thickBot="1" x14ac:dyDescent="0.3">
      <c r="B20" s="437" t="s">
        <v>272</v>
      </c>
      <c r="C20" s="437"/>
      <c r="D20" s="437"/>
      <c r="E20" s="81"/>
    </row>
    <row r="21" spans="2:5" ht="33" customHeight="1" thickBot="1" x14ac:dyDescent="0.3">
      <c r="B21" s="438" t="s">
        <v>273</v>
      </c>
      <c r="C21" s="436"/>
      <c r="D21" s="436"/>
      <c r="E21" s="80"/>
    </row>
    <row r="22" spans="2:5" ht="33" customHeight="1" thickBot="1" x14ac:dyDescent="0.3">
      <c r="B22" s="438" t="s">
        <v>274</v>
      </c>
      <c r="C22" s="437"/>
      <c r="D22" s="437"/>
      <c r="E22" s="81"/>
    </row>
    <row r="23" spans="2:5" ht="33" customHeight="1" thickBot="1" x14ac:dyDescent="0.3">
      <c r="B23" s="436" t="s">
        <v>275</v>
      </c>
      <c r="C23" s="436"/>
      <c r="D23" s="436"/>
      <c r="E23" s="80" t="s">
        <v>276</v>
      </c>
    </row>
    <row r="24" spans="2:5" ht="33" customHeight="1" thickBot="1" x14ac:dyDescent="0.3">
      <c r="B24" s="437" t="s">
        <v>277</v>
      </c>
      <c r="C24" s="437"/>
      <c r="D24" s="437"/>
      <c r="E24" s="81" t="s">
        <v>278</v>
      </c>
    </row>
    <row r="25" spans="2:5" ht="33" customHeight="1" thickBot="1" x14ac:dyDescent="0.3">
      <c r="B25" s="436" t="s">
        <v>279</v>
      </c>
      <c r="C25" s="436"/>
      <c r="D25" s="436"/>
      <c r="E25" s="80" t="s">
        <v>280</v>
      </c>
    </row>
    <row r="26" spans="2:5" ht="33" customHeight="1" thickBot="1" x14ac:dyDescent="0.3">
      <c r="B26" s="437" t="s">
        <v>281</v>
      </c>
      <c r="C26" s="437"/>
      <c r="D26" s="437"/>
      <c r="E26" s="81"/>
    </row>
    <row r="27" spans="2:5" x14ac:dyDescent="0.25">
      <c r="B27" s="49"/>
      <c r="C27" s="49"/>
      <c r="D27" s="49"/>
      <c r="E27" s="439"/>
    </row>
    <row r="30" spans="2:5" x14ac:dyDescent="0.25">
      <c r="B30" s="49"/>
      <c r="C30" s="8" t="e">
        <f>+#REF!</f>
        <v>#REF!</v>
      </c>
      <c r="D30" s="8" t="e">
        <f>+#REF!</f>
        <v>#REF!</v>
      </c>
      <c r="E30" s="434"/>
    </row>
    <row r="33" spans="2:2" ht="14.25" customHeight="1" x14ac:dyDescent="0.25">
      <c r="B33" s="49"/>
    </row>
    <row r="34" spans="2:2" x14ac:dyDescent="0.25">
      <c r="B34" s="49"/>
    </row>
    <row r="35" spans="2:2" x14ac:dyDescent="0.25">
      <c r="B35" s="49"/>
    </row>
    <row r="36" spans="2:2" x14ac:dyDescent="0.25">
      <c r="B36" s="49"/>
    </row>
    <row r="37" spans="2:2" x14ac:dyDescent="0.25">
      <c r="B37" s="49"/>
    </row>
    <row r="38" spans="2:2" x14ac:dyDescent="0.25">
      <c r="B38" s="49"/>
    </row>
    <row r="39" spans="2:2" x14ac:dyDescent="0.25">
      <c r="B39" s="49"/>
    </row>
    <row r="40" spans="2:2" x14ac:dyDescent="0.25">
      <c r="B40" s="49"/>
    </row>
    <row r="41" spans="2:2" x14ac:dyDescent="0.25">
      <c r="B41" s="49"/>
    </row>
    <row r="42" spans="2:2" x14ac:dyDescent="0.25">
      <c r="B42" s="49"/>
    </row>
  </sheetData>
  <hyperlinks>
    <hyperlink ref="E14" location="'Ret. SUSS'!A1" display="P. LABORAL 9" xr:uid="{320DED2B-5527-43BD-B52D-863568DE010E}"/>
    <hyperlink ref="E7" location="'Ctas Auditadas'!A1" display="P. LABORAL 1" xr:uid="{5E7DFCE6-9C5D-450C-8395-471231A855C3}"/>
    <hyperlink ref="E8" location="'S. Iniciales'!A1" display="P. LABORAL 2" xr:uid="{39415F44-3C59-48C1-972F-E90DDF6F8909}"/>
    <hyperlink ref="E10" location="'S. al Cierre'!A1" display="P. LABORAL 4" xr:uid="{B3EB85CC-7CA3-4C4E-A30E-EF4D954495D3}"/>
    <hyperlink ref="E9" location="'Analisis General'!A1" display="P. LABORAL 3" xr:uid="{1E49DFE6-5D6A-4059-ACDE-59364D731D2C}"/>
    <hyperlink ref="E11" location="'S. al Cierre'!A1" display="'S. al Cierre'!A1" xr:uid="{D8F17149-68FE-43FB-A363-C1C5EE01C1B5}"/>
    <hyperlink ref="E13" location="D.814!A1" display="P. LABORAL 8" xr:uid="{40637CD9-97A9-44D8-AE59-3F5E1DB7583E}"/>
    <hyperlink ref="E24" location="Cuestionario!A1" display="P. LABORAL 8" xr:uid="{9E4C9238-F35A-41F5-9A46-730702B91F80}"/>
    <hyperlink ref="E23" location="Circularización!A1" display="P. LABORAL 8" xr:uid="{94B30B3D-92F4-41AE-8BB9-5DCFB36A7026}"/>
    <hyperlink ref="E25" location="Memorandum!Área_de_impresión" display="P. LABORAL 10" xr:uid="{8D6B1FB2-8597-402B-80CC-204B53F2132D}"/>
    <hyperlink ref="E15" location="'ATP-REPRO'!A1" display="P. LABORAL 8" xr:uid="{97DF016C-1D79-464B-80C5-C5E74C73B457}"/>
    <hyperlink ref="E12" location="Mayores!A1" display="P. LABORAL 5" xr:uid="{764F4DE3-995E-4F82-93EE-E4E145872876}"/>
  </hyperlinks>
  <pageMargins left="0.19685039370078741" right="0.19685039370078741" top="0.78740157480314965" bottom="0.39370078740157483" header="0.31496062992125984" footer="0.31496062992125984"/>
  <pageSetup paperSize="9" scale="91" orientation="landscape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7513731BB2A0145B73A21A852855C04" ma:contentTypeVersion="18" ma:contentTypeDescription="Crear nuevo documento." ma:contentTypeScope="" ma:versionID="f7706c0f8665d7993990eecae8e737c0">
  <xsd:schema xmlns:xsd="http://www.w3.org/2001/XMLSchema" xmlns:xs="http://www.w3.org/2001/XMLSchema" xmlns:p="http://schemas.microsoft.com/office/2006/metadata/properties" xmlns:ns2="b60d9208-3aa5-4778-affa-fa67139eb949" xmlns:ns3="d2699a96-d9ed-4fa1-aa7c-2f24fabfefca" targetNamespace="http://schemas.microsoft.com/office/2006/metadata/properties" ma:root="true" ma:fieldsID="6e1e5f38efd61919cbd7d3e38defaeb1" ns2:_="" ns3:_="">
    <xsd:import namespace="b60d9208-3aa5-4778-affa-fa67139eb949"/>
    <xsd:import namespace="d2699a96-d9ed-4fa1-aa7c-2f24fabfef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d9208-3aa5-4778-affa-fa67139eb9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e44d1c59-4c5a-48ea-b0d4-0eae266429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99a96-d9ed-4fa1-aa7c-2f24fabfefc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9e818b0-e917-4c42-9a8e-fe626790966b}" ma:internalName="TaxCatchAll" ma:showField="CatchAllData" ma:web="d2699a96-d9ed-4fa1-aa7c-2f24fabfef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0d9208-3aa5-4778-affa-fa67139eb949">
      <Terms xmlns="http://schemas.microsoft.com/office/infopath/2007/PartnerControls"/>
    </lcf76f155ced4ddcb4097134ff3c332f>
    <TaxCatchAll xmlns="d2699a96-d9ed-4fa1-aa7c-2f24fabfefc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B62B3C-DDE1-4D65-93DC-A3FB9C2047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0d9208-3aa5-4778-affa-fa67139eb949"/>
    <ds:schemaRef ds:uri="d2699a96-d9ed-4fa1-aa7c-2f24fabfef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835EBB-D88E-43E3-AE74-F1DE287523C9}">
  <ds:schemaRefs>
    <ds:schemaRef ds:uri="http://schemas.microsoft.com/office/2006/metadata/properties"/>
    <ds:schemaRef ds:uri="http://schemas.microsoft.com/office/infopath/2007/PartnerControls"/>
    <ds:schemaRef ds:uri="b60d9208-3aa5-4778-affa-fa67139eb949"/>
    <ds:schemaRef ds:uri="d2699a96-d9ed-4fa1-aa7c-2f24fabfefca"/>
  </ds:schemaRefs>
</ds:datastoreItem>
</file>

<file path=customXml/itemProps3.xml><?xml version="1.0" encoding="utf-8"?>
<ds:datastoreItem xmlns:ds="http://schemas.openxmlformats.org/officeDocument/2006/customXml" ds:itemID="{FE265FFF-2C3E-4441-8582-CBEFAC579F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3</vt:i4>
      </vt:variant>
    </vt:vector>
  </HeadingPairs>
  <TitlesOfParts>
    <vt:vector size="18" baseType="lpstr">
      <vt:lpstr>Títulos</vt:lpstr>
      <vt:lpstr>PROCEDIMIENTO</vt:lpstr>
      <vt:lpstr>Cuentas Auditadas</vt:lpstr>
      <vt:lpstr>Sys</vt:lpstr>
      <vt:lpstr>Analisis General</vt:lpstr>
      <vt:lpstr>931</vt:lpstr>
      <vt:lpstr>Saldo Inicio y cierre</vt:lpstr>
      <vt:lpstr>Ret. SUSS</vt:lpstr>
      <vt:lpstr>PAGOS</vt:lpstr>
      <vt:lpstr>TABLA PAGOS</vt:lpstr>
      <vt:lpstr>COMPENSACIONES</vt:lpstr>
      <vt:lpstr>D.814</vt:lpstr>
      <vt:lpstr>Cuestionario</vt:lpstr>
      <vt:lpstr>Mayores</vt:lpstr>
      <vt:lpstr>Resumen</vt:lpstr>
      <vt:lpstr>'Analisis General'!Área_de_impresión</vt:lpstr>
      <vt:lpstr>Cuestionario!Área_de_impresión</vt:lpstr>
      <vt:lpstr>Cuestionario!Títulos_a_imprimir</vt:lpstr>
    </vt:vector>
  </TitlesOfParts>
  <Manager/>
  <Company>ETGYA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silvia</dc:creator>
  <cp:keywords/>
  <dc:description/>
  <cp:lastModifiedBy>Francisco López García</cp:lastModifiedBy>
  <cp:revision/>
  <dcterms:created xsi:type="dcterms:W3CDTF">2014-07-31T14:06:28Z</dcterms:created>
  <dcterms:modified xsi:type="dcterms:W3CDTF">2026-02-20T15:12:39Z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0x01010047513731BB2A0145B73A21A852855C04</vt:lpwstr>
  </property>
  <property fmtid="{D5CDD505-2E9C-101B-9397-08002B2CF9AE}" pid="3" name="MediaServiceImageTags">
    <vt:lpwstr/>
  </property>
</Properties>
</file>